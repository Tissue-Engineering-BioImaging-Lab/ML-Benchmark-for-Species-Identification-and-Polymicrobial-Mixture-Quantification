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a\OneDrive\Documents\MEGA\University\Biomed Eng Research\Raman Analysis Project\Analysis\"/>
    </mc:Choice>
  </mc:AlternateContent>
  <xr:revisionPtr revIDLastSave="0" documentId="13_ncr:1_{485F3DB5-CC7F-43E8-91CC-B0566C69E3BC}" xr6:coauthVersionLast="47" xr6:coauthVersionMax="47" xr10:uidLastSave="{00000000-0000-0000-0000-000000000000}"/>
  <bookViews>
    <workbookView xWindow="-108" yWindow="-108" windowWidth="30936" windowHeight="16776" activeTab="1" xr2:uid="{3E03FDE5-80A8-470F-9981-3E5BA5B67DC1}"/>
  </bookViews>
  <sheets>
    <sheet name="RF Before Overfitting Check" sheetId="3" r:id="rId1"/>
    <sheet name="XGBoost Before Check" sheetId="4" r:id="rId2"/>
    <sheet name="RF" sheetId="1" r:id="rId3"/>
    <sheet name="XGBoos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" l="1"/>
  <c r="B56" i="2"/>
  <c r="B56" i="1"/>
  <c r="B57" i="1"/>
</calcChain>
</file>

<file path=xl/sharedStrings.xml><?xml version="1.0" encoding="utf-8"?>
<sst xmlns="http://schemas.openxmlformats.org/spreadsheetml/2006/main" count="322" uniqueCount="35">
  <si>
    <t>RF 1</t>
  </si>
  <si>
    <t>Class</t>
  </si>
  <si>
    <t>Support</t>
  </si>
  <si>
    <t>Precision</t>
  </si>
  <si>
    <t>Recall</t>
  </si>
  <si>
    <t>F1-Score</t>
  </si>
  <si>
    <t>TTS/RF Seed: 42</t>
  </si>
  <si>
    <t>Noise Seed: 42</t>
  </si>
  <si>
    <t>RF 2</t>
  </si>
  <si>
    <t>RF 3</t>
  </si>
  <si>
    <t>RF 4</t>
  </si>
  <si>
    <t>RF 5</t>
  </si>
  <si>
    <t>RF 1 Noise</t>
  </si>
  <si>
    <t>Accuracy</t>
  </si>
  <si>
    <t>Weighted Avg</t>
  </si>
  <si>
    <t>Macro Avg</t>
  </si>
  <si>
    <t>Weighted avg</t>
  </si>
  <si>
    <t>W Avg</t>
  </si>
  <si>
    <t>RF 2 Noise</t>
  </si>
  <si>
    <t>TTS/RF Seed: 43</t>
  </si>
  <si>
    <t>RF 3 Noise</t>
  </si>
  <si>
    <t>TTS/RF Seed: 44</t>
  </si>
  <si>
    <t>RF 4 Noise</t>
  </si>
  <si>
    <t>TTS/RF Seed: 45</t>
  </si>
  <si>
    <t>RF 5 Noise</t>
  </si>
  <si>
    <t>TTS/RF Seed: 46</t>
  </si>
  <si>
    <t xml:space="preserve">Avg Clean Accuracy: </t>
  </si>
  <si>
    <t xml:space="preserve">Avg Noisy Accuracy: </t>
  </si>
  <si>
    <t>No Check</t>
  </si>
  <si>
    <t xml:space="preserve">Train Accuracy: </t>
  </si>
  <si>
    <t xml:space="preserve">Test Accuracy: </t>
  </si>
  <si>
    <t xml:space="preserve">Accuracy Gap: </t>
  </si>
  <si>
    <t>CV Mean Accuracy:</t>
  </si>
  <si>
    <t xml:space="preserve">CV Std Dev: </t>
  </si>
  <si>
    <t>Post-Check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</si>
</sst>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241B-C51C-4195-9DE8-B956BD0634A4}">
  <dimension ref="A1:K35"/>
  <sheetViews>
    <sheetView workbookViewId="0">
      <selection activeCell="E31" sqref="E31"/>
    </sheetView>
  </sheetViews>
  <sheetFormatPr defaultRowHeight="14.4" x14ac:dyDescent="0.3"/>
  <cols>
    <col min="1" max="1" width="29.5546875" bestFit="1" customWidth="1"/>
    <col min="2" max="2" width="14.21875" bestFit="1" customWidth="1"/>
    <col min="3" max="3" width="13.33203125" bestFit="1" customWidth="1"/>
    <col min="7" max="7" width="11.5546875" bestFit="1" customWidth="1"/>
    <col min="8" max="8" width="14.21875" bestFit="1" customWidth="1"/>
    <col min="9" max="9" width="13.33203125" bestFit="1" customWidth="1"/>
  </cols>
  <sheetData>
    <row r="1" spans="1:11" x14ac:dyDescent="0.3">
      <c r="A1" s="1" t="s">
        <v>28</v>
      </c>
      <c r="B1" s="1" t="s">
        <v>6</v>
      </c>
      <c r="C1" s="1" t="s">
        <v>7</v>
      </c>
      <c r="G1" s="1" t="s">
        <v>28</v>
      </c>
      <c r="H1" s="1" t="s">
        <v>6</v>
      </c>
      <c r="I1" s="1" t="s">
        <v>7</v>
      </c>
    </row>
    <row r="2" spans="1:11" x14ac:dyDescent="0.3">
      <c r="A2" s="1" t="s">
        <v>1</v>
      </c>
      <c r="B2" s="1" t="s">
        <v>3</v>
      </c>
      <c r="C2" s="1" t="s">
        <v>4</v>
      </c>
      <c r="D2" s="1" t="s">
        <v>5</v>
      </c>
      <c r="E2" s="1" t="s">
        <v>2</v>
      </c>
      <c r="F2" s="1"/>
      <c r="G2" s="1" t="s">
        <v>1</v>
      </c>
      <c r="H2" s="1" t="s">
        <v>3</v>
      </c>
      <c r="I2" s="1" t="s">
        <v>4</v>
      </c>
      <c r="J2" s="1" t="s">
        <v>5</v>
      </c>
      <c r="K2" s="1" t="s">
        <v>2</v>
      </c>
    </row>
    <row r="3" spans="1:11" x14ac:dyDescent="0.3">
      <c r="A3">
        <v>0</v>
      </c>
      <c r="B3">
        <v>0.97399999999999998</v>
      </c>
      <c r="C3">
        <v>0.98533131006575603</v>
      </c>
      <c r="D3">
        <v>0.97963288911239599</v>
      </c>
      <c r="E3">
        <v>1977</v>
      </c>
      <c r="G3">
        <v>0</v>
      </c>
      <c r="H3" s="2">
        <v>0.97251374300000004</v>
      </c>
      <c r="I3" s="2">
        <v>0.98431967600000003</v>
      </c>
      <c r="J3" s="2">
        <v>0.97838109600000001</v>
      </c>
      <c r="K3">
        <v>1977</v>
      </c>
    </row>
    <row r="4" spans="1:11" x14ac:dyDescent="0.3">
      <c r="A4">
        <v>1</v>
      </c>
      <c r="B4">
        <v>0.94384449244060398</v>
      </c>
      <c r="C4">
        <v>0.948968512486427</v>
      </c>
      <c r="D4">
        <v>0.946399566865186</v>
      </c>
      <c r="E4">
        <v>921</v>
      </c>
      <c r="G4">
        <v>1</v>
      </c>
      <c r="H4">
        <v>0.94366197200000002</v>
      </c>
      <c r="I4" s="2">
        <v>0.94571118300000001</v>
      </c>
      <c r="J4">
        <v>0.94468546600000003</v>
      </c>
      <c r="K4">
        <v>921</v>
      </c>
    </row>
    <row r="5" spans="1:11" x14ac:dyDescent="0.3">
      <c r="A5">
        <v>2</v>
      </c>
      <c r="B5">
        <v>0.987179487179487</v>
      </c>
      <c r="C5">
        <v>0.94612476370510401</v>
      </c>
      <c r="D5">
        <v>0.96621621621621601</v>
      </c>
      <c r="E5">
        <v>1058</v>
      </c>
      <c r="G5">
        <v>2</v>
      </c>
      <c r="H5" s="2">
        <v>0.98330058899999995</v>
      </c>
      <c r="I5">
        <v>0.94612476400000001</v>
      </c>
      <c r="J5" s="2">
        <v>0.96435452799999999</v>
      </c>
      <c r="K5">
        <v>1058</v>
      </c>
    </row>
    <row r="6" spans="1:11" x14ac:dyDescent="0.3">
      <c r="A6">
        <v>3</v>
      </c>
      <c r="B6">
        <v>0.97551020408163203</v>
      </c>
      <c r="C6">
        <v>0.95599999999999996</v>
      </c>
      <c r="D6">
        <v>0.96565656565656499</v>
      </c>
      <c r="E6">
        <v>1000</v>
      </c>
      <c r="G6">
        <v>3</v>
      </c>
      <c r="H6">
        <v>0.97650663900000001</v>
      </c>
      <c r="I6">
        <v>0.95599999999999996</v>
      </c>
      <c r="J6" s="2">
        <v>0.96614451700000004</v>
      </c>
      <c r="K6">
        <v>1000</v>
      </c>
    </row>
    <row r="7" spans="1:11" x14ac:dyDescent="0.3">
      <c r="A7">
        <v>4</v>
      </c>
      <c r="B7">
        <v>0.96905697445972405</v>
      </c>
      <c r="C7">
        <v>0.98650000000000004</v>
      </c>
      <c r="D7">
        <v>0.97770069375619395</v>
      </c>
      <c r="E7">
        <v>2000</v>
      </c>
      <c r="G7">
        <v>4</v>
      </c>
      <c r="H7" s="2">
        <v>0.96855036900000002</v>
      </c>
      <c r="I7">
        <v>0.98550000000000004</v>
      </c>
      <c r="J7" s="2">
        <v>0.97695167299999996</v>
      </c>
      <c r="K7">
        <v>2000</v>
      </c>
    </row>
    <row r="8" spans="1:11" x14ac:dyDescent="0.3">
      <c r="A8" t="s">
        <v>13</v>
      </c>
      <c r="B8">
        <v>0.97067280046003401</v>
      </c>
      <c r="G8" t="s">
        <v>13</v>
      </c>
      <c r="H8" s="2">
        <v>0.96966647500000003</v>
      </c>
    </row>
    <row r="9" spans="1:11" x14ac:dyDescent="0.3">
      <c r="A9" t="s">
        <v>15</v>
      </c>
      <c r="B9">
        <v>0.96991823163228896</v>
      </c>
      <c r="C9">
        <v>0.96458491725145701</v>
      </c>
      <c r="D9">
        <v>0.96712118632131105</v>
      </c>
      <c r="E9">
        <v>6956</v>
      </c>
      <c r="G9" t="s">
        <v>15</v>
      </c>
      <c r="H9" s="2">
        <v>0.96890666199999997</v>
      </c>
      <c r="I9" s="2">
        <v>0.96353112500000004</v>
      </c>
      <c r="J9" s="2">
        <v>0.96610345600000003</v>
      </c>
      <c r="K9">
        <v>6956</v>
      </c>
    </row>
    <row r="10" spans="1:11" x14ac:dyDescent="0.3">
      <c r="A10" t="s">
        <v>16</v>
      </c>
      <c r="B10">
        <v>0.97080776710390704</v>
      </c>
      <c r="C10">
        <v>0.97067280046003401</v>
      </c>
      <c r="D10">
        <v>0.97062721862906198</v>
      </c>
      <c r="E10">
        <v>6956</v>
      </c>
      <c r="G10" t="s">
        <v>16</v>
      </c>
      <c r="H10" s="2">
        <v>0.96976879599999999</v>
      </c>
      <c r="I10" s="2">
        <v>0.96966647500000003</v>
      </c>
      <c r="J10">
        <v>0.969616115</v>
      </c>
      <c r="K10">
        <v>6956</v>
      </c>
    </row>
    <row r="12" spans="1:11" x14ac:dyDescent="0.3">
      <c r="A12" s="1" t="s">
        <v>29</v>
      </c>
      <c r="B12">
        <v>0.98470000000000002</v>
      </c>
    </row>
    <row r="13" spans="1:11" x14ac:dyDescent="0.3">
      <c r="A13" s="1" t="s">
        <v>30</v>
      </c>
      <c r="B13">
        <v>0.97070000000000001</v>
      </c>
    </row>
    <row r="14" spans="1:11" x14ac:dyDescent="0.3">
      <c r="A14" s="1" t="s">
        <v>31</v>
      </c>
      <c r="B14">
        <v>1.4E-2</v>
      </c>
    </row>
    <row r="15" spans="1:11" x14ac:dyDescent="0.3">
      <c r="A15" s="1"/>
    </row>
    <row r="16" spans="1:11" x14ac:dyDescent="0.3">
      <c r="A16" s="1" t="s">
        <v>32</v>
      </c>
      <c r="B16">
        <v>0.94810000000000005</v>
      </c>
    </row>
    <row r="17" spans="1:11" x14ac:dyDescent="0.3">
      <c r="A17" s="1" t="s">
        <v>33</v>
      </c>
      <c r="B17">
        <v>4.1000000000000002E-2</v>
      </c>
    </row>
    <row r="19" spans="1:11" x14ac:dyDescent="0.3">
      <c r="A19" s="1" t="s">
        <v>34</v>
      </c>
      <c r="B19" s="1" t="s">
        <v>6</v>
      </c>
      <c r="C19" s="1" t="s">
        <v>7</v>
      </c>
      <c r="G19" s="1" t="s">
        <v>28</v>
      </c>
      <c r="H19" s="1" t="s">
        <v>6</v>
      </c>
      <c r="I19" s="1" t="s">
        <v>7</v>
      </c>
    </row>
    <row r="20" spans="1:11" x14ac:dyDescent="0.3">
      <c r="A20" s="1" t="s">
        <v>1</v>
      </c>
      <c r="B20" s="1" t="s">
        <v>3</v>
      </c>
      <c r="C20" s="1" t="s">
        <v>4</v>
      </c>
      <c r="D20" s="1" t="s">
        <v>5</v>
      </c>
      <c r="E20" s="1" t="s">
        <v>2</v>
      </c>
      <c r="F20" s="1"/>
      <c r="G20" s="1" t="s">
        <v>1</v>
      </c>
      <c r="H20" s="1" t="s">
        <v>3</v>
      </c>
      <c r="I20" s="1" t="s">
        <v>4</v>
      </c>
      <c r="J20" s="1" t="s">
        <v>5</v>
      </c>
      <c r="K20" s="1" t="s">
        <v>2</v>
      </c>
    </row>
    <row r="21" spans="1:11" x14ac:dyDescent="0.3">
      <c r="A21">
        <v>0</v>
      </c>
      <c r="B21">
        <v>0.97397397397397401</v>
      </c>
      <c r="C21">
        <v>0.98431967627718697</v>
      </c>
      <c r="D21">
        <v>0.97911949685534505</v>
      </c>
      <c r="E21">
        <v>1977</v>
      </c>
      <c r="G21">
        <v>0</v>
      </c>
      <c r="H21" s="2">
        <v>0.97251374312843497</v>
      </c>
      <c r="I21" s="2">
        <v>0.98431967627718697</v>
      </c>
      <c r="J21" s="2">
        <v>0.97838109602815404</v>
      </c>
      <c r="K21">
        <v>1977</v>
      </c>
    </row>
    <row r="22" spans="1:11" x14ac:dyDescent="0.3">
      <c r="A22">
        <v>1</v>
      </c>
      <c r="B22">
        <v>0.93959007551240503</v>
      </c>
      <c r="C22">
        <v>0.94571118349619898</v>
      </c>
      <c r="D22">
        <v>0.94264069264069195</v>
      </c>
      <c r="E22">
        <v>921</v>
      </c>
      <c r="G22">
        <v>1</v>
      </c>
      <c r="H22">
        <v>0.94034707158351405</v>
      </c>
      <c r="I22" s="2">
        <v>0.94136807817589496</v>
      </c>
      <c r="J22">
        <v>0.94085729788388495</v>
      </c>
      <c r="K22">
        <v>921</v>
      </c>
    </row>
    <row r="23" spans="1:11" x14ac:dyDescent="0.3">
      <c r="A23">
        <v>2</v>
      </c>
      <c r="B23">
        <v>0.98623402163225105</v>
      </c>
      <c r="C23">
        <v>0.948015122873345</v>
      </c>
      <c r="D23">
        <v>0.96674698795180702</v>
      </c>
      <c r="E23">
        <v>1058</v>
      </c>
      <c r="G23">
        <v>2</v>
      </c>
      <c r="H23" s="2">
        <v>0.98233562315996004</v>
      </c>
      <c r="I23">
        <v>0.94612476370510401</v>
      </c>
      <c r="J23" s="2">
        <v>0.96389022628791499</v>
      </c>
      <c r="K23">
        <v>1058</v>
      </c>
    </row>
    <row r="24" spans="1:11" x14ac:dyDescent="0.3">
      <c r="A24">
        <v>3</v>
      </c>
      <c r="B24">
        <v>0.97745901639344202</v>
      </c>
      <c r="C24">
        <v>0.95399999999999996</v>
      </c>
      <c r="D24">
        <v>0.96558704453441202</v>
      </c>
      <c r="E24">
        <v>1000</v>
      </c>
      <c r="G24">
        <v>3</v>
      </c>
      <c r="H24">
        <v>0.97648261758691202</v>
      </c>
      <c r="I24">
        <v>0.95499999999999996</v>
      </c>
      <c r="J24" s="2">
        <v>0.96562184024266895</v>
      </c>
      <c r="K24">
        <v>1000</v>
      </c>
    </row>
    <row r="25" spans="1:11" x14ac:dyDescent="0.3">
      <c r="A25">
        <v>4</v>
      </c>
      <c r="B25">
        <v>0.96663395485770298</v>
      </c>
      <c r="C25">
        <v>0.98499999999999999</v>
      </c>
      <c r="D25">
        <v>0.97573055968301103</v>
      </c>
      <c r="E25">
        <v>2000</v>
      </c>
      <c r="G25">
        <v>4</v>
      </c>
      <c r="H25" s="2">
        <v>0.96660117878192497</v>
      </c>
      <c r="I25">
        <v>0.98399999999999999</v>
      </c>
      <c r="J25" s="2">
        <v>0.97522299306243798</v>
      </c>
      <c r="K25">
        <v>2000</v>
      </c>
    </row>
    <row r="26" spans="1:11" x14ac:dyDescent="0.3">
      <c r="A26" t="s">
        <v>13</v>
      </c>
      <c r="B26">
        <v>0.96952271420356495</v>
      </c>
      <c r="G26" t="s">
        <v>13</v>
      </c>
      <c r="H26" s="2">
        <v>0.96851638872915402</v>
      </c>
    </row>
    <row r="27" spans="1:11" x14ac:dyDescent="0.3">
      <c r="A27" t="s">
        <v>15</v>
      </c>
      <c r="B27">
        <v>0.96877820847395502</v>
      </c>
      <c r="C27">
        <v>0.96340919652934598</v>
      </c>
      <c r="D27">
        <v>0.96596495633305302</v>
      </c>
      <c r="E27">
        <v>6956</v>
      </c>
      <c r="G27" t="s">
        <v>15</v>
      </c>
      <c r="H27" s="2">
        <v>0.96765604684814899</v>
      </c>
      <c r="I27" s="2">
        <v>0.96216250363163702</v>
      </c>
      <c r="J27" s="2">
        <v>0.96479469070101198</v>
      </c>
      <c r="K27">
        <v>6956</v>
      </c>
    </row>
    <row r="28" spans="1:11" x14ac:dyDescent="0.3">
      <c r="A28" t="s">
        <v>16</v>
      </c>
      <c r="B28">
        <v>0.969676757775912</v>
      </c>
      <c r="C28">
        <v>0.96952271420356495</v>
      </c>
      <c r="D28">
        <v>0.96948789539369495</v>
      </c>
      <c r="E28">
        <v>6956</v>
      </c>
      <c r="G28" t="s">
        <v>16</v>
      </c>
      <c r="H28" s="2">
        <v>0.96861923340243405</v>
      </c>
      <c r="I28" s="2">
        <v>0.96851638872915402</v>
      </c>
      <c r="J28">
        <v>0.96846645830633704</v>
      </c>
      <c r="K28">
        <v>6956</v>
      </c>
    </row>
    <row r="30" spans="1:11" x14ac:dyDescent="0.3">
      <c r="A30" s="1" t="s">
        <v>29</v>
      </c>
      <c r="B30">
        <v>0.98380000000000001</v>
      </c>
    </row>
    <row r="31" spans="1:11" x14ac:dyDescent="0.3">
      <c r="A31" s="1" t="s">
        <v>30</v>
      </c>
      <c r="B31">
        <v>0.96950000000000003</v>
      </c>
    </row>
    <row r="32" spans="1:11" x14ac:dyDescent="0.3">
      <c r="A32" s="1" t="s">
        <v>31</v>
      </c>
      <c r="B32">
        <v>4.1300000000000003E-2</v>
      </c>
    </row>
    <row r="33" spans="1:2" x14ac:dyDescent="0.3">
      <c r="A33" s="1"/>
    </row>
    <row r="34" spans="1:2" x14ac:dyDescent="0.3">
      <c r="A34" s="1" t="s">
        <v>32</v>
      </c>
      <c r="B34">
        <v>0.94789999999999996</v>
      </c>
    </row>
    <row r="35" spans="1:2" x14ac:dyDescent="0.3">
      <c r="A35" s="1" t="s">
        <v>33</v>
      </c>
      <c r="B35">
        <v>4.1300000000000003E-2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2F45-5A59-4E87-A0F7-C52CDAB5F2D0}">
  <dimension ref="A1:K35"/>
  <sheetViews>
    <sheetView tabSelected="1" workbookViewId="0">
      <selection activeCell="B21" sqref="B21"/>
    </sheetView>
  </sheetViews>
  <sheetFormatPr defaultRowHeight="14.4" x14ac:dyDescent="0.3"/>
  <cols>
    <col min="1" max="1" width="29.5546875" bestFit="1" customWidth="1"/>
    <col min="2" max="2" width="14.21875" bestFit="1" customWidth="1"/>
    <col min="3" max="3" width="13.33203125" bestFit="1" customWidth="1"/>
    <col min="7" max="7" width="11.6640625" bestFit="1" customWidth="1"/>
    <col min="8" max="8" width="14.21875" bestFit="1" customWidth="1"/>
    <col min="9" max="9" width="13.33203125" bestFit="1" customWidth="1"/>
  </cols>
  <sheetData>
    <row r="1" spans="1:11" x14ac:dyDescent="0.3">
      <c r="A1" s="1" t="s">
        <v>28</v>
      </c>
      <c r="B1" s="1" t="s">
        <v>6</v>
      </c>
      <c r="C1" s="1" t="s">
        <v>7</v>
      </c>
      <c r="G1" s="1" t="s">
        <v>28</v>
      </c>
      <c r="H1" s="1" t="s">
        <v>6</v>
      </c>
      <c r="I1" s="1" t="s">
        <v>7</v>
      </c>
    </row>
    <row r="2" spans="1:11" x14ac:dyDescent="0.3">
      <c r="A2" s="1" t="s">
        <v>1</v>
      </c>
      <c r="B2" s="1" t="s">
        <v>3</v>
      </c>
      <c r="C2" s="1" t="s">
        <v>4</v>
      </c>
      <c r="D2" s="1" t="s">
        <v>5</v>
      </c>
      <c r="E2" s="1" t="s">
        <v>2</v>
      </c>
      <c r="F2" s="1"/>
      <c r="G2" s="1" t="s">
        <v>1</v>
      </c>
      <c r="H2" s="1" t="s">
        <v>3</v>
      </c>
      <c r="I2" s="1" t="s">
        <v>4</v>
      </c>
      <c r="J2" s="1" t="s">
        <v>5</v>
      </c>
      <c r="K2" s="1" t="s">
        <v>2</v>
      </c>
    </row>
    <row r="3" spans="1:11" x14ac:dyDescent="0.3">
      <c r="A3">
        <v>0</v>
      </c>
      <c r="B3">
        <v>0.96665007466401198</v>
      </c>
      <c r="C3">
        <v>0.98229640870004997</v>
      </c>
      <c r="D3">
        <v>0.97441043652784698</v>
      </c>
      <c r="E3">
        <v>1977</v>
      </c>
      <c r="G3">
        <v>0</v>
      </c>
      <c r="H3" s="2">
        <v>0.966135458</v>
      </c>
      <c r="I3" s="2">
        <v>0.981284775</v>
      </c>
      <c r="J3" s="2">
        <v>0.97365119200000005</v>
      </c>
      <c r="K3">
        <v>1977</v>
      </c>
    </row>
    <row r="4" spans="1:11" x14ac:dyDescent="0.3">
      <c r="A4">
        <v>1</v>
      </c>
      <c r="B4">
        <v>0.93447905477980597</v>
      </c>
      <c r="C4">
        <v>0.94462540716612298</v>
      </c>
      <c r="D4">
        <v>0.93952483801295805</v>
      </c>
      <c r="E4">
        <v>921</v>
      </c>
      <c r="G4">
        <v>1</v>
      </c>
      <c r="H4">
        <v>0.93297297300000004</v>
      </c>
      <c r="I4" s="2">
        <v>0.93702497299999998</v>
      </c>
      <c r="J4">
        <v>0.93499458300000005</v>
      </c>
      <c r="K4">
        <v>921</v>
      </c>
    </row>
    <row r="5" spans="1:11" x14ac:dyDescent="0.3">
      <c r="A5">
        <v>2</v>
      </c>
      <c r="B5">
        <v>0.98223099703849903</v>
      </c>
      <c r="C5">
        <v>0.94045368620037795</v>
      </c>
      <c r="D5">
        <v>0.96088845968131298</v>
      </c>
      <c r="E5">
        <v>1058</v>
      </c>
      <c r="G5">
        <v>2</v>
      </c>
      <c r="H5" s="2">
        <v>0.97738446400000001</v>
      </c>
      <c r="I5">
        <v>0.93950850699999999</v>
      </c>
      <c r="J5" s="2">
        <v>0.95807228899999997</v>
      </c>
      <c r="K5">
        <v>1058</v>
      </c>
    </row>
    <row r="6" spans="1:11" x14ac:dyDescent="0.3">
      <c r="A6">
        <v>3</v>
      </c>
      <c r="B6">
        <v>0.97233606557376995</v>
      </c>
      <c r="C6">
        <v>0.94899999999999995</v>
      </c>
      <c r="D6">
        <v>0.96052631578947301</v>
      </c>
      <c r="E6">
        <v>1000</v>
      </c>
      <c r="G6">
        <v>3</v>
      </c>
      <c r="H6">
        <v>0.97131147500000004</v>
      </c>
      <c r="I6">
        <v>0.94799999999999995</v>
      </c>
      <c r="J6" s="2">
        <v>0.95951417000000006</v>
      </c>
      <c r="K6">
        <v>1000</v>
      </c>
    </row>
    <row r="7" spans="1:11" x14ac:dyDescent="0.3">
      <c r="A7">
        <v>4</v>
      </c>
      <c r="B7">
        <v>0.96349284657128698</v>
      </c>
      <c r="C7">
        <v>0.97650000000000003</v>
      </c>
      <c r="D7">
        <v>0.96995281847529102</v>
      </c>
      <c r="E7">
        <v>2000</v>
      </c>
      <c r="G7">
        <v>4</v>
      </c>
      <c r="H7" s="2">
        <v>0.96059113299999999</v>
      </c>
      <c r="I7">
        <v>0.97499999999999998</v>
      </c>
      <c r="J7" s="2">
        <v>0.96774193500000005</v>
      </c>
      <c r="K7">
        <v>2000</v>
      </c>
    </row>
    <row r="8" spans="1:11" x14ac:dyDescent="0.3">
      <c r="A8" t="s">
        <v>13</v>
      </c>
      <c r="B8">
        <v>0.96449108683151197</v>
      </c>
      <c r="G8" t="s">
        <v>13</v>
      </c>
      <c r="H8" s="2">
        <v>0.96247843600000005</v>
      </c>
    </row>
    <row r="9" spans="1:11" x14ac:dyDescent="0.3">
      <c r="A9" t="s">
        <v>15</v>
      </c>
      <c r="B9">
        <v>0.963837807725475</v>
      </c>
      <c r="C9">
        <v>0.95857510041330996</v>
      </c>
      <c r="D9">
        <v>0.96106057369737696</v>
      </c>
      <c r="E9">
        <v>6956</v>
      </c>
      <c r="G9" t="s">
        <v>15</v>
      </c>
      <c r="H9" s="2">
        <v>0.96167910099999998</v>
      </c>
      <c r="I9" s="2">
        <v>0.956163651</v>
      </c>
      <c r="J9" s="2">
        <v>0.95879483399999998</v>
      </c>
      <c r="K9">
        <v>6956</v>
      </c>
    </row>
    <row r="10" spans="1:11" x14ac:dyDescent="0.3">
      <c r="A10" t="s">
        <v>16</v>
      </c>
      <c r="B10">
        <v>0.96467000584330498</v>
      </c>
      <c r="C10">
        <v>0.96449108683151197</v>
      </c>
      <c r="D10">
        <v>0.96445712362110003</v>
      </c>
      <c r="E10">
        <v>6956</v>
      </c>
      <c r="G10" t="s">
        <v>14</v>
      </c>
      <c r="H10" s="2">
        <v>0.96260557999999996</v>
      </c>
      <c r="I10" s="2">
        <v>0.96247843600000005</v>
      </c>
      <c r="J10">
        <v>0.96243199300000004</v>
      </c>
      <c r="K10">
        <v>6956</v>
      </c>
    </row>
    <row r="12" spans="1:11" x14ac:dyDescent="0.3">
      <c r="A12" s="1" t="s">
        <v>29</v>
      </c>
      <c r="B12">
        <v>0.97070000000000001</v>
      </c>
    </row>
    <row r="13" spans="1:11" x14ac:dyDescent="0.3">
      <c r="A13" s="1" t="s">
        <v>30</v>
      </c>
      <c r="B13">
        <v>0.96450000000000002</v>
      </c>
    </row>
    <row r="14" spans="1:11" x14ac:dyDescent="0.3">
      <c r="A14" s="1" t="s">
        <v>31</v>
      </c>
      <c r="B14">
        <v>6.3E-3</v>
      </c>
    </row>
    <row r="15" spans="1:11" x14ac:dyDescent="0.3">
      <c r="A15" s="1"/>
    </row>
    <row r="16" spans="1:11" x14ac:dyDescent="0.3">
      <c r="A16" s="1" t="s">
        <v>32</v>
      </c>
      <c r="B16">
        <v>0.94020000000000004</v>
      </c>
    </row>
    <row r="17" spans="1:11" x14ac:dyDescent="0.3">
      <c r="A17" s="1" t="s">
        <v>33</v>
      </c>
      <c r="B17">
        <v>4.3299999999999998E-2</v>
      </c>
    </row>
    <row r="19" spans="1:11" x14ac:dyDescent="0.3">
      <c r="A19" s="1" t="s">
        <v>34</v>
      </c>
      <c r="B19" s="1" t="s">
        <v>6</v>
      </c>
      <c r="C19" s="1" t="s">
        <v>7</v>
      </c>
      <c r="G19" s="1" t="s">
        <v>28</v>
      </c>
      <c r="H19" s="1" t="s">
        <v>6</v>
      </c>
      <c r="I19" s="1" t="s">
        <v>7</v>
      </c>
    </row>
    <row r="20" spans="1:11" x14ac:dyDescent="0.3">
      <c r="A20" s="1" t="s">
        <v>1</v>
      </c>
      <c r="B20" s="1" t="s">
        <v>3</v>
      </c>
      <c r="C20" s="1" t="s">
        <v>4</v>
      </c>
      <c r="D20" s="1" t="s">
        <v>5</v>
      </c>
      <c r="E20" s="1" t="s">
        <v>2</v>
      </c>
      <c r="F20" s="1"/>
      <c r="G20" s="1" t="s">
        <v>1</v>
      </c>
      <c r="H20" s="1" t="s">
        <v>3</v>
      </c>
      <c r="I20" s="1" t="s">
        <v>4</v>
      </c>
      <c r="J20" s="1" t="s">
        <v>5</v>
      </c>
      <c r="K20" s="1" t="s">
        <v>2</v>
      </c>
    </row>
    <row r="21" spans="1:11" x14ac:dyDescent="0.3">
      <c r="A21">
        <v>0</v>
      </c>
      <c r="B21">
        <v>0.96859421734795603</v>
      </c>
      <c r="C21">
        <v>0.98280222559433394</v>
      </c>
      <c r="D21">
        <v>0.975646497614863</v>
      </c>
      <c r="E21">
        <v>1977</v>
      </c>
      <c r="G21">
        <v>0</v>
      </c>
      <c r="H21" s="2">
        <v>0.96708229400000001</v>
      </c>
      <c r="I21" s="2">
        <v>0.98077895800000003</v>
      </c>
      <c r="J21" s="2">
        <v>0.97388247100000003</v>
      </c>
      <c r="K21">
        <v>1977</v>
      </c>
    </row>
    <row r="22" spans="1:11" x14ac:dyDescent="0.3">
      <c r="A22">
        <v>1</v>
      </c>
      <c r="B22">
        <v>0.93496801705756905</v>
      </c>
      <c r="C22">
        <v>0.95222584147665501</v>
      </c>
      <c r="D22">
        <v>0.94351802044109701</v>
      </c>
      <c r="E22">
        <v>921</v>
      </c>
      <c r="G22">
        <v>1</v>
      </c>
      <c r="H22">
        <v>0.93347639500000001</v>
      </c>
      <c r="I22" s="2">
        <v>0.94462540699999997</v>
      </c>
      <c r="J22">
        <v>0.93901780899999998</v>
      </c>
      <c r="K22">
        <v>921</v>
      </c>
    </row>
    <row r="23" spans="1:11" x14ac:dyDescent="0.3">
      <c r="A23">
        <v>2</v>
      </c>
      <c r="B23">
        <v>0.98315163528245697</v>
      </c>
      <c r="C23">
        <v>0.93761814744801497</v>
      </c>
      <c r="D23">
        <v>0.95984518626028004</v>
      </c>
      <c r="E23">
        <v>1058</v>
      </c>
      <c r="G23">
        <v>2</v>
      </c>
      <c r="H23" s="2">
        <v>0.97832512299999996</v>
      </c>
      <c r="I23">
        <v>0.938563327</v>
      </c>
      <c r="J23" s="2">
        <v>0.95803183800000002</v>
      </c>
      <c r="K23">
        <v>1058</v>
      </c>
    </row>
    <row r="24" spans="1:11" x14ac:dyDescent="0.3">
      <c r="A24">
        <v>3</v>
      </c>
      <c r="B24">
        <v>0.97336065573770403</v>
      </c>
      <c r="C24">
        <v>0.95</v>
      </c>
      <c r="D24">
        <v>0.96153846153846101</v>
      </c>
      <c r="E24">
        <v>1000</v>
      </c>
      <c r="G24">
        <v>3</v>
      </c>
      <c r="H24">
        <v>0.97227926099999995</v>
      </c>
      <c r="I24">
        <v>0.94699999999999995</v>
      </c>
      <c r="J24" s="2">
        <v>0.95947315099999997</v>
      </c>
      <c r="K24">
        <v>1000</v>
      </c>
    </row>
    <row r="25" spans="1:11" x14ac:dyDescent="0.3">
      <c r="A25">
        <v>4</v>
      </c>
      <c r="B25">
        <v>0.96398618648248602</v>
      </c>
      <c r="C25">
        <v>0.97699999999999998</v>
      </c>
      <c r="D25">
        <v>0.97044946610379901</v>
      </c>
      <c r="E25">
        <v>2000</v>
      </c>
      <c r="G25">
        <v>4</v>
      </c>
      <c r="H25" s="2">
        <v>0.96059113299999999</v>
      </c>
      <c r="I25">
        <v>0.97499999999999998</v>
      </c>
      <c r="J25" s="2">
        <v>0.96774193500000005</v>
      </c>
      <c r="K25">
        <v>2000</v>
      </c>
    </row>
    <row r="26" spans="1:11" x14ac:dyDescent="0.3">
      <c r="A26" t="s">
        <v>13</v>
      </c>
      <c r="B26">
        <v>0.96549741230592201</v>
      </c>
      <c r="G26" t="s">
        <v>13</v>
      </c>
      <c r="H26" s="2">
        <v>0.96305347900000005</v>
      </c>
    </row>
    <row r="27" spans="1:11" x14ac:dyDescent="0.3">
      <c r="A27" t="s">
        <v>15</v>
      </c>
      <c r="B27">
        <v>0.96481214238163404</v>
      </c>
      <c r="C27">
        <v>0.95992924290380099</v>
      </c>
      <c r="D27">
        <v>0.96219952639170003</v>
      </c>
      <c r="E27">
        <v>6956</v>
      </c>
      <c r="G27" t="s">
        <v>15</v>
      </c>
      <c r="H27" s="2">
        <v>0.96235084100000001</v>
      </c>
      <c r="I27" s="2">
        <v>0.95719353799999995</v>
      </c>
      <c r="J27" s="2">
        <v>0.95962944100000003</v>
      </c>
      <c r="K27">
        <v>6956</v>
      </c>
    </row>
    <row r="28" spans="1:11" x14ac:dyDescent="0.3">
      <c r="A28" t="s">
        <v>14</v>
      </c>
      <c r="B28">
        <v>0.96571647070708</v>
      </c>
      <c r="C28">
        <v>0.96549741230592201</v>
      </c>
      <c r="D28">
        <v>0.96546676587410396</v>
      </c>
      <c r="E28">
        <v>6956</v>
      </c>
      <c r="G28" t="s">
        <v>14</v>
      </c>
      <c r="H28" s="2">
        <v>0.96322354300000002</v>
      </c>
      <c r="I28" s="2">
        <v>0.96305347900000005</v>
      </c>
      <c r="J28">
        <v>0.96301836600000001</v>
      </c>
      <c r="K28">
        <v>6956</v>
      </c>
    </row>
    <row r="30" spans="1:11" x14ac:dyDescent="0.3">
      <c r="A30" s="1" t="s">
        <v>29</v>
      </c>
      <c r="B30">
        <v>0.97099999999999997</v>
      </c>
    </row>
    <row r="31" spans="1:11" x14ac:dyDescent="0.3">
      <c r="A31" s="1" t="s">
        <v>30</v>
      </c>
      <c r="B31">
        <v>0.96550000000000002</v>
      </c>
    </row>
    <row r="32" spans="1:11" x14ac:dyDescent="0.3">
      <c r="A32" s="1" t="s">
        <v>31</v>
      </c>
      <c r="B32">
        <v>5.4999999999999997E-3</v>
      </c>
    </row>
    <row r="33" spans="1:2" x14ac:dyDescent="0.3">
      <c r="A33" s="1"/>
    </row>
    <row r="34" spans="1:2" x14ac:dyDescent="0.3">
      <c r="A34" s="1" t="s">
        <v>32</v>
      </c>
      <c r="B34">
        <v>0.9405</v>
      </c>
    </row>
    <row r="35" spans="1:2" x14ac:dyDescent="0.3">
      <c r="A35" s="1" t="s">
        <v>33</v>
      </c>
      <c r="B35">
        <v>4.2999999999999997E-2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7476-81E3-436D-8DFB-F058FA582B62}">
  <dimension ref="A1:L57"/>
  <sheetViews>
    <sheetView workbookViewId="0">
      <selection activeCell="N12" sqref="N12"/>
    </sheetView>
  </sheetViews>
  <sheetFormatPr defaultRowHeight="14.4" x14ac:dyDescent="0.3"/>
  <cols>
    <col min="1" max="1" width="18.109375" bestFit="1" customWidth="1"/>
    <col min="2" max="2" width="14.21875" bestFit="1" customWidth="1"/>
    <col min="3" max="3" width="13.33203125" bestFit="1" customWidth="1"/>
    <col min="7" max="7" width="11.5546875" bestFit="1" customWidth="1"/>
    <col min="8" max="8" width="14.21875" bestFit="1" customWidth="1"/>
    <col min="9" max="9" width="13.33203125" bestFit="1" customWidth="1"/>
    <col min="10" max="10" width="8.88671875" customWidth="1"/>
  </cols>
  <sheetData>
    <row r="1" spans="1:12" x14ac:dyDescent="0.3">
      <c r="A1" s="1" t="s">
        <v>0</v>
      </c>
      <c r="B1" s="1" t="s">
        <v>6</v>
      </c>
      <c r="C1" s="1" t="s">
        <v>7</v>
      </c>
      <c r="G1" s="1" t="s">
        <v>12</v>
      </c>
      <c r="H1" s="1" t="s">
        <v>6</v>
      </c>
      <c r="I1" s="1" t="s">
        <v>7</v>
      </c>
      <c r="L1" s="1"/>
    </row>
    <row r="2" spans="1:12" x14ac:dyDescent="0.3">
      <c r="A2" s="1" t="s">
        <v>1</v>
      </c>
      <c r="B2" s="1" t="s">
        <v>3</v>
      </c>
      <c r="C2" s="1" t="s">
        <v>4</v>
      </c>
      <c r="D2" s="1" t="s">
        <v>5</v>
      </c>
      <c r="E2" s="1" t="s">
        <v>2</v>
      </c>
      <c r="F2" s="1"/>
      <c r="G2" s="1" t="s">
        <v>1</v>
      </c>
      <c r="H2" s="1" t="s">
        <v>3</v>
      </c>
      <c r="I2" s="1" t="s">
        <v>4</v>
      </c>
      <c r="J2" s="1" t="s">
        <v>5</v>
      </c>
      <c r="K2" s="1" t="s">
        <v>2</v>
      </c>
      <c r="L2" s="1"/>
    </row>
    <row r="3" spans="1:12" x14ac:dyDescent="0.3">
      <c r="A3">
        <v>0</v>
      </c>
      <c r="B3">
        <v>0.97397397397397401</v>
      </c>
      <c r="C3">
        <v>0.98431967627718697</v>
      </c>
      <c r="D3">
        <v>0.97911949685534505</v>
      </c>
      <c r="E3">
        <v>1977</v>
      </c>
      <c r="G3">
        <v>0</v>
      </c>
      <c r="H3" s="2">
        <v>0.97251374312843497</v>
      </c>
      <c r="I3" s="2">
        <v>0.98431967627718697</v>
      </c>
      <c r="J3" s="2">
        <v>0.97838109602815404</v>
      </c>
      <c r="K3">
        <v>1977</v>
      </c>
    </row>
    <row r="4" spans="1:12" x14ac:dyDescent="0.3">
      <c r="A4">
        <v>1</v>
      </c>
      <c r="B4">
        <v>0.93959007551240503</v>
      </c>
      <c r="C4">
        <v>0.94571118349619898</v>
      </c>
      <c r="D4">
        <v>0.94264069264069195</v>
      </c>
      <c r="E4">
        <v>921</v>
      </c>
      <c r="G4">
        <v>1</v>
      </c>
      <c r="H4">
        <v>0.94034707158351405</v>
      </c>
      <c r="I4" s="2">
        <v>0.94136807817589496</v>
      </c>
      <c r="J4">
        <v>0.94085729788388495</v>
      </c>
      <c r="K4">
        <v>921</v>
      </c>
    </row>
    <row r="5" spans="1:12" x14ac:dyDescent="0.3">
      <c r="A5">
        <v>2</v>
      </c>
      <c r="B5">
        <v>0.98623402163225105</v>
      </c>
      <c r="C5">
        <v>0.948015122873345</v>
      </c>
      <c r="D5">
        <v>0.96674698795180702</v>
      </c>
      <c r="E5">
        <v>1058</v>
      </c>
      <c r="G5">
        <v>2</v>
      </c>
      <c r="H5" s="2">
        <v>0.98233562315996004</v>
      </c>
      <c r="I5">
        <v>0.94612476370510401</v>
      </c>
      <c r="J5" s="2">
        <v>0.96389022628791499</v>
      </c>
      <c r="K5">
        <v>1058</v>
      </c>
    </row>
    <row r="6" spans="1:12" x14ac:dyDescent="0.3">
      <c r="A6">
        <v>3</v>
      </c>
      <c r="B6">
        <v>0.97745901639344202</v>
      </c>
      <c r="C6">
        <v>0.95399999999999996</v>
      </c>
      <c r="D6">
        <v>0.96558704453441202</v>
      </c>
      <c r="E6">
        <v>1000</v>
      </c>
      <c r="G6">
        <v>3</v>
      </c>
      <c r="H6">
        <v>0.97648261758691202</v>
      </c>
      <c r="I6">
        <v>0.95499999999999996</v>
      </c>
      <c r="J6" s="2">
        <v>0.96562184024266895</v>
      </c>
      <c r="K6">
        <v>1000</v>
      </c>
    </row>
    <row r="7" spans="1:12" x14ac:dyDescent="0.3">
      <c r="A7">
        <v>4</v>
      </c>
      <c r="B7">
        <v>0.96663395485770298</v>
      </c>
      <c r="C7">
        <v>0.98499999999999999</v>
      </c>
      <c r="D7">
        <v>0.97573055968301103</v>
      </c>
      <c r="E7">
        <v>2000</v>
      </c>
      <c r="G7">
        <v>4</v>
      </c>
      <c r="H7" s="2">
        <v>0.96660117878192497</v>
      </c>
      <c r="I7">
        <v>0.98399999999999999</v>
      </c>
      <c r="J7" s="2">
        <v>0.97522299306243798</v>
      </c>
      <c r="K7">
        <v>2000</v>
      </c>
    </row>
    <row r="8" spans="1:12" x14ac:dyDescent="0.3">
      <c r="A8" t="s">
        <v>13</v>
      </c>
      <c r="B8">
        <v>0.96952271420356495</v>
      </c>
      <c r="G8" t="s">
        <v>13</v>
      </c>
      <c r="H8" s="2">
        <v>0.96851638872915402</v>
      </c>
    </row>
    <row r="9" spans="1:12" x14ac:dyDescent="0.3">
      <c r="A9" t="s">
        <v>15</v>
      </c>
      <c r="B9">
        <v>0.96877820847395502</v>
      </c>
      <c r="C9">
        <v>0.96340919652934598</v>
      </c>
      <c r="D9">
        <v>0.96596495633305302</v>
      </c>
      <c r="E9">
        <v>6956</v>
      </c>
      <c r="G9" t="s">
        <v>15</v>
      </c>
      <c r="H9" s="2">
        <v>0.96765604684814899</v>
      </c>
      <c r="I9" s="2">
        <v>0.96216250363163702</v>
      </c>
      <c r="J9" s="2">
        <v>0.96479469070101198</v>
      </c>
      <c r="K9">
        <v>6956</v>
      </c>
    </row>
    <row r="10" spans="1:12" x14ac:dyDescent="0.3">
      <c r="A10" t="s">
        <v>16</v>
      </c>
      <c r="B10">
        <v>0.969676757775912</v>
      </c>
      <c r="C10">
        <v>0.96952271420356495</v>
      </c>
      <c r="D10">
        <v>0.96948789539369495</v>
      </c>
      <c r="E10">
        <v>6956</v>
      </c>
      <c r="G10" t="s">
        <v>17</v>
      </c>
      <c r="H10" s="2">
        <v>0.96861923340243405</v>
      </c>
      <c r="I10" s="2">
        <v>0.96851638872915402</v>
      </c>
      <c r="J10">
        <v>0.96846645830633704</v>
      </c>
      <c r="K10">
        <v>6956</v>
      </c>
    </row>
    <row r="12" spans="1:12" x14ac:dyDescent="0.3">
      <c r="A12" s="1" t="s">
        <v>8</v>
      </c>
      <c r="B12" s="1" t="s">
        <v>19</v>
      </c>
      <c r="C12" s="1" t="s">
        <v>7</v>
      </c>
      <c r="G12" s="1" t="s">
        <v>18</v>
      </c>
      <c r="H12" s="1" t="s">
        <v>19</v>
      </c>
      <c r="I12" s="1" t="s">
        <v>7</v>
      </c>
    </row>
    <row r="13" spans="1:12" x14ac:dyDescent="0.3">
      <c r="A13" s="1" t="s">
        <v>1</v>
      </c>
      <c r="B13" s="1" t="s">
        <v>3</v>
      </c>
      <c r="C13" s="1" t="s">
        <v>4</v>
      </c>
      <c r="D13" s="1" t="s">
        <v>5</v>
      </c>
      <c r="E13" s="1" t="s">
        <v>2</v>
      </c>
      <c r="F13" s="1"/>
      <c r="G13" s="1" t="s">
        <v>1</v>
      </c>
      <c r="H13" s="1" t="s">
        <v>3</v>
      </c>
      <c r="I13" s="1" t="s">
        <v>4</v>
      </c>
      <c r="J13" s="1" t="s">
        <v>5</v>
      </c>
      <c r="K13" s="1" t="s">
        <v>2</v>
      </c>
    </row>
    <row r="14" spans="1:12" x14ac:dyDescent="0.3">
      <c r="A14">
        <v>0</v>
      </c>
      <c r="B14">
        <v>0.97117296222663996</v>
      </c>
      <c r="C14">
        <v>0.98836621143146097</v>
      </c>
      <c r="D14">
        <v>0.97969415893707701</v>
      </c>
      <c r="E14">
        <v>1977</v>
      </c>
      <c r="G14">
        <v>0</v>
      </c>
      <c r="H14">
        <v>0.96923076923076901</v>
      </c>
      <c r="I14">
        <v>0.987860394537177</v>
      </c>
      <c r="J14">
        <v>0.97845691382765498</v>
      </c>
      <c r="K14">
        <v>1977</v>
      </c>
    </row>
    <row r="15" spans="1:12" x14ac:dyDescent="0.3">
      <c r="A15">
        <v>1</v>
      </c>
      <c r="B15">
        <v>0.94577006507592098</v>
      </c>
      <c r="C15">
        <v>0.94679695982627499</v>
      </c>
      <c r="D15">
        <v>0.94628323385783997</v>
      </c>
      <c r="E15">
        <v>921</v>
      </c>
      <c r="G15">
        <v>1</v>
      </c>
      <c r="H15">
        <v>0.94174757281553401</v>
      </c>
      <c r="I15">
        <v>0.94788273615635099</v>
      </c>
      <c r="J15">
        <v>0.94480519480519398</v>
      </c>
      <c r="K15">
        <v>921</v>
      </c>
    </row>
    <row r="16" spans="1:12" x14ac:dyDescent="0.3">
      <c r="A16">
        <v>2</v>
      </c>
      <c r="B16">
        <v>0.98429833169774195</v>
      </c>
      <c r="C16">
        <v>0.948015122873345</v>
      </c>
      <c r="D16">
        <v>0.96581608088589299</v>
      </c>
      <c r="E16">
        <v>1058</v>
      </c>
      <c r="G16">
        <v>2</v>
      </c>
      <c r="H16">
        <v>0.98133595284872299</v>
      </c>
      <c r="I16">
        <v>0.94423440453686203</v>
      </c>
      <c r="J16">
        <v>0.96242774566473899</v>
      </c>
      <c r="K16">
        <v>1058</v>
      </c>
    </row>
    <row r="17" spans="1:11" x14ac:dyDescent="0.3">
      <c r="A17">
        <v>3</v>
      </c>
      <c r="B17">
        <v>0.97267206477732704</v>
      </c>
      <c r="C17">
        <v>0.96099999999999997</v>
      </c>
      <c r="D17">
        <v>0.96680080482897301</v>
      </c>
      <c r="E17">
        <v>1000</v>
      </c>
      <c r="G17">
        <v>3</v>
      </c>
      <c r="H17">
        <v>0.97264437689969596</v>
      </c>
      <c r="I17">
        <v>0.96</v>
      </c>
      <c r="J17">
        <v>0.96628082536487103</v>
      </c>
      <c r="K17">
        <v>1000</v>
      </c>
    </row>
    <row r="18" spans="1:11" x14ac:dyDescent="0.3">
      <c r="A18">
        <v>4</v>
      </c>
      <c r="B18">
        <v>0.97419354838709604</v>
      </c>
      <c r="C18">
        <v>0.98150000000000004</v>
      </c>
      <c r="D18">
        <v>0.97783312577833104</v>
      </c>
      <c r="E18">
        <v>2000</v>
      </c>
      <c r="G18">
        <v>4</v>
      </c>
      <c r="H18">
        <v>0.97461423593827701</v>
      </c>
      <c r="I18">
        <v>0.97899999999999998</v>
      </c>
      <c r="J18">
        <v>0.97680219506111199</v>
      </c>
      <c r="K18">
        <v>2000</v>
      </c>
    </row>
    <row r="19" spans="1:11" x14ac:dyDescent="0.3">
      <c r="A19" t="s">
        <v>13</v>
      </c>
      <c r="B19">
        <v>0.97081656124209303</v>
      </c>
      <c r="G19" t="s">
        <v>13</v>
      </c>
      <c r="H19">
        <v>0.96937895342150604</v>
      </c>
    </row>
    <row r="20" spans="1:11" x14ac:dyDescent="0.3">
      <c r="A20" t="s">
        <v>15</v>
      </c>
      <c r="B20">
        <v>0.96962139443294504</v>
      </c>
      <c r="C20">
        <v>0.96513565882621599</v>
      </c>
      <c r="D20">
        <v>0.967285480857623</v>
      </c>
      <c r="E20">
        <v>6956</v>
      </c>
      <c r="G20" t="s">
        <v>15</v>
      </c>
      <c r="H20">
        <v>0.96791458154660004</v>
      </c>
      <c r="I20">
        <v>0.96379550704607797</v>
      </c>
      <c r="J20">
        <v>0.96575457494471395</v>
      </c>
      <c r="K20">
        <v>6956</v>
      </c>
    </row>
    <row r="21" spans="1:11" x14ac:dyDescent="0.3">
      <c r="A21" t="s">
        <v>16</v>
      </c>
      <c r="B21">
        <v>0.97088987532270299</v>
      </c>
      <c r="C21">
        <v>0.97081656124209303</v>
      </c>
      <c r="D21">
        <v>0.97077094315189505</v>
      </c>
      <c r="E21">
        <v>6956</v>
      </c>
      <c r="G21" t="s">
        <v>17</v>
      </c>
      <c r="H21">
        <v>0.96947168375827097</v>
      </c>
      <c r="I21">
        <v>0.96937895342150604</v>
      </c>
      <c r="J21">
        <v>0.96933707208931097</v>
      </c>
      <c r="K21">
        <v>6956</v>
      </c>
    </row>
    <row r="23" spans="1:11" x14ac:dyDescent="0.3">
      <c r="A23" s="1" t="s">
        <v>9</v>
      </c>
      <c r="B23" s="1" t="s">
        <v>21</v>
      </c>
      <c r="C23" s="1" t="s">
        <v>7</v>
      </c>
      <c r="G23" s="1" t="s">
        <v>20</v>
      </c>
      <c r="H23" s="1" t="s">
        <v>21</v>
      </c>
      <c r="I23" s="1" t="s">
        <v>7</v>
      </c>
    </row>
    <row r="24" spans="1:11" x14ac:dyDescent="0.3">
      <c r="A24" s="1" t="s">
        <v>1</v>
      </c>
      <c r="B24" s="1" t="s">
        <v>3</v>
      </c>
      <c r="C24" s="1" t="s">
        <v>4</v>
      </c>
      <c r="D24" s="1" t="s">
        <v>5</v>
      </c>
      <c r="E24" s="1" t="s">
        <v>2</v>
      </c>
      <c r="F24" s="1"/>
      <c r="G24" s="1" t="s">
        <v>1</v>
      </c>
      <c r="H24" s="1" t="s">
        <v>3</v>
      </c>
      <c r="I24" s="1" t="s">
        <v>4</v>
      </c>
      <c r="J24" s="1" t="s">
        <v>5</v>
      </c>
      <c r="K24" s="1" t="s">
        <v>2</v>
      </c>
    </row>
    <row r="25" spans="1:11" x14ac:dyDescent="0.3">
      <c r="A25">
        <v>0</v>
      </c>
      <c r="B25">
        <v>0.97696544817225806</v>
      </c>
      <c r="C25">
        <v>0.98684876074860906</v>
      </c>
      <c r="D25">
        <v>0.98188223452440804</v>
      </c>
      <c r="E25">
        <v>1977</v>
      </c>
      <c r="G25">
        <v>0</v>
      </c>
      <c r="H25">
        <v>0.97646469704556804</v>
      </c>
      <c r="I25">
        <v>0.98634294385432397</v>
      </c>
      <c r="J25">
        <v>0.981378963261197</v>
      </c>
      <c r="K25">
        <v>1977</v>
      </c>
    </row>
    <row r="26" spans="1:11" x14ac:dyDescent="0.3">
      <c r="A26">
        <v>1</v>
      </c>
      <c r="B26">
        <v>0.95879732739420898</v>
      </c>
      <c r="C26">
        <v>0.93485342019543904</v>
      </c>
      <c r="D26">
        <v>0.946673996701484</v>
      </c>
      <c r="E26">
        <v>921</v>
      </c>
      <c r="G26">
        <v>1</v>
      </c>
      <c r="H26">
        <v>0.95968645016797305</v>
      </c>
      <c r="I26">
        <v>0.93051031487513503</v>
      </c>
      <c r="J26">
        <v>0.94487320837927202</v>
      </c>
      <c r="K26">
        <v>921</v>
      </c>
    </row>
    <row r="27" spans="1:11" x14ac:dyDescent="0.3">
      <c r="A27">
        <v>2</v>
      </c>
      <c r="B27">
        <v>0.9912109375</v>
      </c>
      <c r="C27">
        <v>0.95935727788279701</v>
      </c>
      <c r="D27">
        <v>0.97502401536983596</v>
      </c>
      <c r="E27">
        <v>1058</v>
      </c>
      <c r="G27">
        <v>2</v>
      </c>
      <c r="H27">
        <v>0.98640776699029098</v>
      </c>
      <c r="I27">
        <v>0.960302457466918</v>
      </c>
      <c r="J27">
        <v>0.97318007662835204</v>
      </c>
      <c r="K27">
        <v>1058</v>
      </c>
    </row>
    <row r="28" spans="1:11" x14ac:dyDescent="0.3">
      <c r="A28">
        <v>3</v>
      </c>
      <c r="B28">
        <v>0.97766497461928903</v>
      </c>
      <c r="C28">
        <v>0.96299999999999997</v>
      </c>
      <c r="D28">
        <v>0.97027707808564201</v>
      </c>
      <c r="E28">
        <v>1000</v>
      </c>
      <c r="G28">
        <v>3</v>
      </c>
      <c r="H28">
        <v>0.97669706180344396</v>
      </c>
      <c r="I28">
        <v>0.96399999999999997</v>
      </c>
      <c r="J28">
        <v>0.97030699547055799</v>
      </c>
      <c r="K28">
        <v>1000</v>
      </c>
    </row>
    <row r="29" spans="1:11" x14ac:dyDescent="0.3">
      <c r="A29">
        <v>4</v>
      </c>
      <c r="B29">
        <v>0.966374269005848</v>
      </c>
      <c r="C29">
        <v>0.99150000000000005</v>
      </c>
      <c r="D29">
        <v>0.978775913129318</v>
      </c>
      <c r="E29">
        <v>2000</v>
      </c>
      <c r="G29">
        <v>4</v>
      </c>
      <c r="H29">
        <v>0.966325036603221</v>
      </c>
      <c r="I29">
        <v>0.99</v>
      </c>
      <c r="J29">
        <v>0.97801926401580597</v>
      </c>
      <c r="K29">
        <v>2000</v>
      </c>
    </row>
    <row r="30" spans="1:11" x14ac:dyDescent="0.3">
      <c r="A30" t="s">
        <v>13</v>
      </c>
      <c r="B30">
        <v>0.97369177688326602</v>
      </c>
      <c r="G30" t="s">
        <v>13</v>
      </c>
      <c r="H30">
        <v>0.97282921219091401</v>
      </c>
    </row>
    <row r="31" spans="1:11" x14ac:dyDescent="0.3">
      <c r="A31" t="s">
        <v>15</v>
      </c>
      <c r="B31">
        <v>0.97420259133831999</v>
      </c>
      <c r="C31">
        <v>0.96711189176536905</v>
      </c>
      <c r="D31">
        <v>0.97052664756213802</v>
      </c>
      <c r="E31">
        <v>6956</v>
      </c>
      <c r="G31" t="s">
        <v>15</v>
      </c>
      <c r="H31">
        <v>0.97311620252209896</v>
      </c>
      <c r="I31">
        <v>0.96623114323927495</v>
      </c>
      <c r="J31">
        <v>0.96955170155103698</v>
      </c>
      <c r="K31">
        <v>6956</v>
      </c>
    </row>
    <row r="32" spans="1:11" x14ac:dyDescent="0.3">
      <c r="A32" t="s">
        <v>16</v>
      </c>
      <c r="B32">
        <v>0.97378201754925298</v>
      </c>
      <c r="C32">
        <v>0.97369177688326602</v>
      </c>
      <c r="D32">
        <v>0.97361590586865798</v>
      </c>
      <c r="E32">
        <v>6956</v>
      </c>
      <c r="G32" t="s">
        <v>17</v>
      </c>
      <c r="H32">
        <v>0.97287355939468101</v>
      </c>
      <c r="I32">
        <v>0.97282921219091401</v>
      </c>
      <c r="J32">
        <v>0.97274072453416704</v>
      </c>
      <c r="K32">
        <v>6956</v>
      </c>
    </row>
    <row r="33" spans="1:11" x14ac:dyDescent="0.3">
      <c r="A33" s="1"/>
      <c r="B33" s="1"/>
      <c r="C33" s="1"/>
    </row>
    <row r="34" spans="1:11" x14ac:dyDescent="0.3">
      <c r="A34" s="1" t="s">
        <v>10</v>
      </c>
      <c r="B34" s="1" t="s">
        <v>23</v>
      </c>
      <c r="C34" s="1" t="s">
        <v>7</v>
      </c>
      <c r="G34" s="1" t="s">
        <v>22</v>
      </c>
      <c r="H34" s="1" t="s">
        <v>23</v>
      </c>
      <c r="I34" s="1" t="s">
        <v>7</v>
      </c>
    </row>
    <row r="35" spans="1:11" x14ac:dyDescent="0.3">
      <c r="A35" s="1" t="s">
        <v>1</v>
      </c>
      <c r="B35" s="1" t="s">
        <v>3</v>
      </c>
      <c r="C35" s="1" t="s">
        <v>4</v>
      </c>
      <c r="D35" s="1" t="s">
        <v>5</v>
      </c>
      <c r="E35" s="1" t="s">
        <v>2</v>
      </c>
      <c r="F35" s="1"/>
      <c r="G35" s="1" t="s">
        <v>1</v>
      </c>
      <c r="H35" s="1" t="s">
        <v>3</v>
      </c>
      <c r="I35" s="1" t="s">
        <v>4</v>
      </c>
      <c r="J35" s="1" t="s">
        <v>5</v>
      </c>
      <c r="K35" s="1" t="s">
        <v>2</v>
      </c>
    </row>
    <row r="36" spans="1:11" x14ac:dyDescent="0.3">
      <c r="A36">
        <v>0</v>
      </c>
      <c r="B36">
        <v>0.97502497502497498</v>
      </c>
      <c r="C36">
        <v>0.98735457764289303</v>
      </c>
      <c r="D36">
        <v>0.98115104297562195</v>
      </c>
      <c r="E36">
        <v>1977</v>
      </c>
      <c r="G36">
        <v>0</v>
      </c>
      <c r="H36">
        <v>0.97553669495756301</v>
      </c>
      <c r="I36">
        <v>0.98836621143146097</v>
      </c>
      <c r="J36">
        <v>0.98190954773869299</v>
      </c>
      <c r="K36">
        <v>1977</v>
      </c>
    </row>
    <row r="37" spans="1:11" x14ac:dyDescent="0.3">
      <c r="A37">
        <v>1</v>
      </c>
      <c r="B37">
        <v>0.95290251916757895</v>
      </c>
      <c r="C37">
        <v>0.94462540716612298</v>
      </c>
      <c r="D37">
        <v>0.94874591057797097</v>
      </c>
      <c r="E37">
        <v>921</v>
      </c>
      <c r="G37">
        <v>1</v>
      </c>
      <c r="H37">
        <v>0.95599559955995494</v>
      </c>
      <c r="I37">
        <v>0.94353963083604697</v>
      </c>
      <c r="J37">
        <v>0.94972677595628396</v>
      </c>
      <c r="K37">
        <v>921</v>
      </c>
    </row>
    <row r="38" spans="1:11" x14ac:dyDescent="0.3">
      <c r="A38">
        <v>2</v>
      </c>
      <c r="B38">
        <v>0.98919449901768097</v>
      </c>
      <c r="C38">
        <v>0.95179584120982896</v>
      </c>
      <c r="D38">
        <v>0.97013487475915205</v>
      </c>
      <c r="E38">
        <v>1058</v>
      </c>
      <c r="G38">
        <v>2</v>
      </c>
      <c r="H38">
        <v>0.98823529411764699</v>
      </c>
      <c r="I38">
        <v>0.95274102079394996</v>
      </c>
      <c r="J38">
        <v>0.97016361886429203</v>
      </c>
      <c r="K38">
        <v>1058</v>
      </c>
    </row>
    <row r="39" spans="1:11" x14ac:dyDescent="0.3">
      <c r="A39">
        <v>3</v>
      </c>
      <c r="B39">
        <v>0.97973657548125603</v>
      </c>
      <c r="C39">
        <v>0.96699999999999997</v>
      </c>
      <c r="D39">
        <v>0.97332662304982298</v>
      </c>
      <c r="E39">
        <v>1000</v>
      </c>
      <c r="G39">
        <v>3</v>
      </c>
      <c r="H39">
        <v>0.97973657548125603</v>
      </c>
      <c r="I39">
        <v>0.96699999999999997</v>
      </c>
      <c r="J39">
        <v>0.97332662304982298</v>
      </c>
      <c r="K39">
        <v>1000</v>
      </c>
    </row>
    <row r="40" spans="1:11" x14ac:dyDescent="0.3">
      <c r="A40">
        <v>4</v>
      </c>
      <c r="B40">
        <v>0.968074656188605</v>
      </c>
      <c r="C40">
        <v>0.98550000000000004</v>
      </c>
      <c r="D40">
        <v>0.97670961347869101</v>
      </c>
      <c r="E40">
        <v>2000</v>
      </c>
      <c r="G40">
        <v>4</v>
      </c>
      <c r="H40">
        <v>0.96759941089837997</v>
      </c>
      <c r="I40">
        <v>0.98550000000000004</v>
      </c>
      <c r="J40">
        <v>0.97646767401535794</v>
      </c>
      <c r="K40">
        <v>2000</v>
      </c>
    </row>
    <row r="41" spans="1:11" x14ac:dyDescent="0.3">
      <c r="A41" t="s">
        <v>13</v>
      </c>
      <c r="B41">
        <v>0.97282921219091401</v>
      </c>
      <c r="G41" t="s">
        <v>13</v>
      </c>
      <c r="H41">
        <v>0.97311673375503105</v>
      </c>
    </row>
    <row r="42" spans="1:11" x14ac:dyDescent="0.3">
      <c r="A42" t="s">
        <v>15</v>
      </c>
      <c r="B42">
        <v>0.97298664497601905</v>
      </c>
      <c r="C42">
        <v>0.96725516520376897</v>
      </c>
      <c r="D42">
        <v>0.97001361296825195</v>
      </c>
      <c r="E42">
        <v>6956</v>
      </c>
      <c r="G42" t="s">
        <v>15</v>
      </c>
      <c r="H42">
        <v>0.97342071500296001</v>
      </c>
      <c r="I42">
        <v>0.967429372612292</v>
      </c>
      <c r="J42">
        <v>0.97031884792488998</v>
      </c>
      <c r="K42">
        <v>6956</v>
      </c>
    </row>
    <row r="43" spans="1:11" x14ac:dyDescent="0.3">
      <c r="A43" t="s">
        <v>16</v>
      </c>
      <c r="B43">
        <v>0.97293002639403203</v>
      </c>
      <c r="C43">
        <v>0.97282921219091401</v>
      </c>
      <c r="D43">
        <v>0.97278308555311999</v>
      </c>
      <c r="E43">
        <v>6956</v>
      </c>
      <c r="G43" t="s">
        <v>17</v>
      </c>
      <c r="H43">
        <v>0.97320246284938305</v>
      </c>
      <c r="I43">
        <v>0.97311673375503105</v>
      </c>
      <c r="J43">
        <v>0.97306334335452704</v>
      </c>
      <c r="K43">
        <v>6956</v>
      </c>
    </row>
    <row r="45" spans="1:11" x14ac:dyDescent="0.3">
      <c r="A45" s="1" t="s">
        <v>11</v>
      </c>
      <c r="B45" s="1" t="s">
        <v>25</v>
      </c>
      <c r="C45" s="1" t="s">
        <v>7</v>
      </c>
      <c r="G45" s="1" t="s">
        <v>24</v>
      </c>
      <c r="H45" s="1" t="s">
        <v>25</v>
      </c>
      <c r="I45" s="1" t="s">
        <v>7</v>
      </c>
    </row>
    <row r="46" spans="1:11" x14ac:dyDescent="0.3">
      <c r="A46" s="1" t="s">
        <v>1</v>
      </c>
      <c r="B46" s="1" t="s">
        <v>3</v>
      </c>
      <c r="C46" s="1" t="s">
        <v>4</v>
      </c>
      <c r="D46" s="1" t="s">
        <v>5</v>
      </c>
      <c r="E46" s="1" t="s">
        <v>2</v>
      </c>
      <c r="F46" s="1"/>
      <c r="G46" s="1" t="s">
        <v>1</v>
      </c>
      <c r="H46" s="1" t="s">
        <v>3</v>
      </c>
      <c r="I46" s="1" t="s">
        <v>4</v>
      </c>
      <c r="J46" s="1" t="s">
        <v>5</v>
      </c>
      <c r="K46" s="1" t="s">
        <v>2</v>
      </c>
    </row>
    <row r="47" spans="1:11" x14ac:dyDescent="0.3">
      <c r="A47">
        <v>0</v>
      </c>
      <c r="B47">
        <v>0.97838109602815404</v>
      </c>
      <c r="C47">
        <v>0.98431967627718697</v>
      </c>
      <c r="D47">
        <v>0.98134140191628805</v>
      </c>
      <c r="E47">
        <v>1977</v>
      </c>
      <c r="G47">
        <v>0</v>
      </c>
      <c r="H47">
        <v>0.97688442211055204</v>
      </c>
      <c r="I47">
        <v>0.98330804248861903</v>
      </c>
      <c r="J47">
        <v>0.98008570708343801</v>
      </c>
      <c r="K47">
        <v>1977</v>
      </c>
    </row>
    <row r="48" spans="1:11" x14ac:dyDescent="0.3">
      <c r="A48">
        <v>1</v>
      </c>
      <c r="B48">
        <v>0.94384449244060398</v>
      </c>
      <c r="C48">
        <v>0.948968512486427</v>
      </c>
      <c r="D48">
        <v>0.946399566865186</v>
      </c>
      <c r="E48">
        <v>921</v>
      </c>
      <c r="G48">
        <v>1</v>
      </c>
      <c r="H48">
        <v>0.94360086767895801</v>
      </c>
      <c r="I48">
        <v>0.94462540716612298</v>
      </c>
      <c r="J48">
        <v>0.94411285946825796</v>
      </c>
      <c r="K48">
        <v>921</v>
      </c>
    </row>
    <row r="49" spans="1:11" x14ac:dyDescent="0.3">
      <c r="A49">
        <v>2</v>
      </c>
      <c r="B49">
        <v>0.99105367793240495</v>
      </c>
      <c r="C49">
        <v>0.94234404536862004</v>
      </c>
      <c r="D49">
        <v>0.96608527131782895</v>
      </c>
      <c r="E49">
        <v>1058</v>
      </c>
      <c r="G49">
        <v>2</v>
      </c>
      <c r="H49">
        <v>0.98714144411473703</v>
      </c>
      <c r="I49">
        <v>0.94328922495274103</v>
      </c>
      <c r="J49">
        <v>0.96471725471242098</v>
      </c>
      <c r="K49">
        <v>1058</v>
      </c>
    </row>
    <row r="50" spans="1:11" x14ac:dyDescent="0.3">
      <c r="A50">
        <v>3</v>
      </c>
      <c r="B50">
        <v>0.96596596596596596</v>
      </c>
      <c r="C50">
        <v>0.96499999999999997</v>
      </c>
      <c r="D50">
        <v>0.96548274137068502</v>
      </c>
      <c r="E50">
        <v>1000</v>
      </c>
      <c r="G50">
        <v>3</v>
      </c>
      <c r="H50">
        <v>0.96884422110552704</v>
      </c>
      <c r="I50">
        <v>0.96399999999999997</v>
      </c>
      <c r="J50">
        <v>0.96641604010024995</v>
      </c>
      <c r="K50">
        <v>1000</v>
      </c>
    </row>
    <row r="51" spans="1:11" x14ac:dyDescent="0.3">
      <c r="A51">
        <v>4</v>
      </c>
      <c r="B51">
        <v>0.96856581532416497</v>
      </c>
      <c r="C51">
        <v>0.98599999999999999</v>
      </c>
      <c r="D51">
        <v>0.97720515361744298</v>
      </c>
      <c r="E51">
        <v>2000</v>
      </c>
      <c r="G51">
        <v>4</v>
      </c>
      <c r="H51">
        <v>0.96712463199214904</v>
      </c>
      <c r="I51">
        <v>0.98550000000000004</v>
      </c>
      <c r="J51">
        <v>0.97622585438335796</v>
      </c>
      <c r="K51">
        <v>2000</v>
      </c>
    </row>
    <row r="52" spans="1:11" x14ac:dyDescent="0.3">
      <c r="A52" t="s">
        <v>13</v>
      </c>
      <c r="B52">
        <v>0.97096032202415095</v>
      </c>
      <c r="G52" t="s">
        <v>13</v>
      </c>
      <c r="H52">
        <v>0.96995399654974102</v>
      </c>
    </row>
    <row r="53" spans="1:11" x14ac:dyDescent="0.3">
      <c r="A53" t="s">
        <v>15</v>
      </c>
      <c r="B53">
        <v>0.969562209538259</v>
      </c>
      <c r="C53">
        <v>0.96532644682644697</v>
      </c>
      <c r="D53">
        <v>0.96730282701748604</v>
      </c>
      <c r="E53">
        <v>6956</v>
      </c>
      <c r="G53" t="s">
        <v>15</v>
      </c>
      <c r="H53">
        <v>0.96871911740038497</v>
      </c>
      <c r="I53">
        <v>0.96414453492149599</v>
      </c>
      <c r="J53">
        <v>0.96631154314954504</v>
      </c>
      <c r="K53">
        <v>6956</v>
      </c>
    </row>
    <row r="54" spans="1:11" x14ac:dyDescent="0.3">
      <c r="A54" t="s">
        <v>16</v>
      </c>
      <c r="B54">
        <v>0.97112889480336995</v>
      </c>
      <c r="C54">
        <v>0.97096032202415095</v>
      </c>
      <c r="D54">
        <v>0.97092541954157097</v>
      </c>
      <c r="E54">
        <v>6956</v>
      </c>
      <c r="G54" t="s">
        <v>16</v>
      </c>
      <c r="H54">
        <v>0.97007562314664997</v>
      </c>
      <c r="I54">
        <v>0.96995399654974102</v>
      </c>
      <c r="J54">
        <v>0.96991029195326794</v>
      </c>
      <c r="K54">
        <v>6956</v>
      </c>
    </row>
    <row r="56" spans="1:11" x14ac:dyDescent="0.3">
      <c r="A56" s="1" t="s">
        <v>26</v>
      </c>
      <c r="B56">
        <f>AVERAGE(B19,B30,B41,B52, B8)</f>
        <v>0.97156411730879788</v>
      </c>
    </row>
    <row r="57" spans="1:11" x14ac:dyDescent="0.3">
      <c r="A57" s="1" t="s">
        <v>27</v>
      </c>
      <c r="B57">
        <f>AVERAGE(H8,H19,H30,H41,H52)</f>
        <v>0.97075905692926923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8CA8-CB18-47FA-87CB-EBC24C2D6A7A}">
  <dimension ref="A1:L57"/>
  <sheetViews>
    <sheetView workbookViewId="0">
      <selection activeCell="A2" sqref="A2:K10"/>
    </sheetView>
  </sheetViews>
  <sheetFormatPr defaultRowHeight="14.4" x14ac:dyDescent="0.3"/>
  <cols>
    <col min="1" max="1" width="18.109375" bestFit="1" customWidth="1"/>
    <col min="2" max="2" width="14.21875" bestFit="1" customWidth="1"/>
    <col min="3" max="3" width="13.33203125" bestFit="1" customWidth="1"/>
    <col min="7" max="7" width="11.5546875" bestFit="1" customWidth="1"/>
    <col min="8" max="8" width="14.21875" bestFit="1" customWidth="1"/>
    <col min="9" max="9" width="13.33203125" bestFit="1" customWidth="1"/>
  </cols>
  <sheetData>
    <row r="1" spans="1:12" x14ac:dyDescent="0.3">
      <c r="A1" s="1">
        <v>1</v>
      </c>
      <c r="B1" s="1" t="s">
        <v>6</v>
      </c>
      <c r="C1" s="1" t="s">
        <v>7</v>
      </c>
      <c r="G1" s="1">
        <v>1</v>
      </c>
      <c r="H1" s="1" t="s">
        <v>6</v>
      </c>
      <c r="I1" s="1" t="s">
        <v>7</v>
      </c>
      <c r="L1" s="1"/>
    </row>
    <row r="2" spans="1:12" x14ac:dyDescent="0.3">
      <c r="A2" s="1" t="s">
        <v>1</v>
      </c>
      <c r="B2" s="1" t="s">
        <v>3</v>
      </c>
      <c r="C2" s="1" t="s">
        <v>4</v>
      </c>
      <c r="D2" s="1" t="s">
        <v>5</v>
      </c>
      <c r="E2" s="1" t="s">
        <v>2</v>
      </c>
      <c r="F2" s="1"/>
      <c r="G2" s="1" t="s">
        <v>1</v>
      </c>
      <c r="H2" s="1" t="s">
        <v>3</v>
      </c>
      <c r="I2" s="1" t="s">
        <v>4</v>
      </c>
      <c r="J2" s="1" t="s">
        <v>5</v>
      </c>
      <c r="K2" s="1" t="s">
        <v>2</v>
      </c>
      <c r="L2" s="1"/>
    </row>
    <row r="3" spans="1:12" x14ac:dyDescent="0.3">
      <c r="A3">
        <v>0</v>
      </c>
      <c r="B3">
        <v>0.96859421734795603</v>
      </c>
      <c r="C3">
        <v>0.98280222559433394</v>
      </c>
      <c r="D3">
        <v>0.975646497614863</v>
      </c>
      <c r="E3">
        <v>1977</v>
      </c>
      <c r="G3">
        <v>0</v>
      </c>
      <c r="H3" s="2">
        <v>0.96708229400000001</v>
      </c>
      <c r="I3" s="2">
        <v>0.98077895800000003</v>
      </c>
      <c r="J3" s="2">
        <v>0.97388247100000003</v>
      </c>
      <c r="K3">
        <v>1977</v>
      </c>
    </row>
    <row r="4" spans="1:12" x14ac:dyDescent="0.3">
      <c r="A4">
        <v>1</v>
      </c>
      <c r="B4">
        <v>0.93496801705756905</v>
      </c>
      <c r="C4">
        <v>0.95222584147665501</v>
      </c>
      <c r="D4">
        <v>0.94351802044109701</v>
      </c>
      <c r="E4">
        <v>921</v>
      </c>
      <c r="G4">
        <v>1</v>
      </c>
      <c r="H4">
        <v>0.93347639500000001</v>
      </c>
      <c r="I4" s="2">
        <v>0.94462540699999997</v>
      </c>
      <c r="J4">
        <v>0.93901780899999998</v>
      </c>
      <c r="K4">
        <v>921</v>
      </c>
    </row>
    <row r="5" spans="1:12" x14ac:dyDescent="0.3">
      <c r="A5">
        <v>2</v>
      </c>
      <c r="B5">
        <v>0.98315163528245697</v>
      </c>
      <c r="C5">
        <v>0.93761814744801497</v>
      </c>
      <c r="D5">
        <v>0.95984518626028004</v>
      </c>
      <c r="E5">
        <v>1058</v>
      </c>
      <c r="G5">
        <v>2</v>
      </c>
      <c r="H5" s="2">
        <v>0.97832512299999996</v>
      </c>
      <c r="I5">
        <v>0.938563327</v>
      </c>
      <c r="J5" s="2">
        <v>0.95803183800000002</v>
      </c>
      <c r="K5">
        <v>1058</v>
      </c>
    </row>
    <row r="6" spans="1:12" x14ac:dyDescent="0.3">
      <c r="A6">
        <v>3</v>
      </c>
      <c r="B6">
        <v>0.97336065573770403</v>
      </c>
      <c r="C6">
        <v>0.95</v>
      </c>
      <c r="D6">
        <v>0.96153846153846101</v>
      </c>
      <c r="E6">
        <v>1000</v>
      </c>
      <c r="G6">
        <v>3</v>
      </c>
      <c r="H6">
        <v>0.97227926099999995</v>
      </c>
      <c r="I6">
        <v>0.94699999999999995</v>
      </c>
      <c r="J6" s="2">
        <v>0.95947315099999997</v>
      </c>
      <c r="K6">
        <v>1000</v>
      </c>
    </row>
    <row r="7" spans="1:12" x14ac:dyDescent="0.3">
      <c r="A7">
        <v>4</v>
      </c>
      <c r="B7">
        <v>0.96398618648248602</v>
      </c>
      <c r="C7">
        <v>0.97699999999999998</v>
      </c>
      <c r="D7">
        <v>0.97044946610379901</v>
      </c>
      <c r="E7">
        <v>2000</v>
      </c>
      <c r="G7">
        <v>4</v>
      </c>
      <c r="H7" s="2">
        <v>0.96059113299999999</v>
      </c>
      <c r="I7">
        <v>0.97499999999999998</v>
      </c>
      <c r="J7" s="2">
        <v>0.96774193500000005</v>
      </c>
      <c r="K7">
        <v>2000</v>
      </c>
    </row>
    <row r="8" spans="1:12" x14ac:dyDescent="0.3">
      <c r="A8" t="s">
        <v>13</v>
      </c>
      <c r="B8">
        <v>0.96549741230592201</v>
      </c>
      <c r="G8" t="s">
        <v>13</v>
      </c>
      <c r="H8" s="2">
        <v>0.96305347900000005</v>
      </c>
    </row>
    <row r="9" spans="1:12" x14ac:dyDescent="0.3">
      <c r="A9" t="s">
        <v>15</v>
      </c>
      <c r="B9">
        <v>0.96481214238163404</v>
      </c>
      <c r="C9">
        <v>0.95992924290380099</v>
      </c>
      <c r="D9">
        <v>0.96219952639170003</v>
      </c>
      <c r="E9">
        <v>6956</v>
      </c>
      <c r="G9" t="s">
        <v>15</v>
      </c>
      <c r="H9" s="2">
        <v>0.96235084100000001</v>
      </c>
      <c r="I9" s="2">
        <v>0.95719353799999995</v>
      </c>
      <c r="J9" s="2">
        <v>0.95962944100000003</v>
      </c>
      <c r="K9">
        <v>6956</v>
      </c>
    </row>
    <row r="10" spans="1:12" x14ac:dyDescent="0.3">
      <c r="A10" t="s">
        <v>14</v>
      </c>
      <c r="B10">
        <v>0.96571647070708</v>
      </c>
      <c r="C10">
        <v>0.96549741230592201</v>
      </c>
      <c r="D10">
        <v>0.96546676587410396</v>
      </c>
      <c r="E10">
        <v>6956</v>
      </c>
      <c r="G10" t="s">
        <v>14</v>
      </c>
      <c r="H10" s="2">
        <v>0.96322354300000002</v>
      </c>
      <c r="I10" s="2">
        <v>0.96305347900000005</v>
      </c>
      <c r="J10">
        <v>0.96301836600000001</v>
      </c>
      <c r="K10">
        <v>6956</v>
      </c>
    </row>
    <row r="12" spans="1:12" x14ac:dyDescent="0.3">
      <c r="A12" s="1">
        <v>2</v>
      </c>
      <c r="B12" s="1" t="s">
        <v>19</v>
      </c>
      <c r="C12" s="1" t="s">
        <v>7</v>
      </c>
      <c r="G12" s="1">
        <v>2</v>
      </c>
      <c r="H12" s="1" t="s">
        <v>19</v>
      </c>
      <c r="I12" s="1" t="s">
        <v>7</v>
      </c>
    </row>
    <row r="13" spans="1:12" x14ac:dyDescent="0.3">
      <c r="A13" s="1" t="s">
        <v>1</v>
      </c>
      <c r="B13" s="1" t="s">
        <v>3</v>
      </c>
      <c r="C13" s="1" t="s">
        <v>4</v>
      </c>
      <c r="D13" s="1" t="s">
        <v>5</v>
      </c>
      <c r="E13" s="1" t="s">
        <v>2</v>
      </c>
      <c r="F13" s="1"/>
      <c r="G13" s="1" t="s">
        <v>1</v>
      </c>
      <c r="H13" s="1" t="s">
        <v>3</v>
      </c>
      <c r="I13" s="1" t="s">
        <v>4</v>
      </c>
      <c r="J13" s="1" t="s">
        <v>5</v>
      </c>
      <c r="K13" s="1" t="s">
        <v>2</v>
      </c>
    </row>
    <row r="14" spans="1:12" x14ac:dyDescent="0.3">
      <c r="A14">
        <v>0</v>
      </c>
      <c r="B14">
        <v>0.96960637800000005</v>
      </c>
      <c r="C14">
        <v>0.98431967600000003</v>
      </c>
      <c r="D14">
        <v>0.976907631</v>
      </c>
      <c r="E14">
        <v>1977</v>
      </c>
      <c r="G14">
        <v>0</v>
      </c>
      <c r="H14">
        <v>0.966650075</v>
      </c>
      <c r="I14">
        <v>0.98229640900000004</v>
      </c>
      <c r="J14">
        <v>0.97441043699999996</v>
      </c>
      <c r="K14">
        <v>1977</v>
      </c>
    </row>
    <row r="15" spans="1:12" x14ac:dyDescent="0.3">
      <c r="A15">
        <v>1</v>
      </c>
      <c r="B15">
        <v>0.94239130400000004</v>
      </c>
      <c r="C15">
        <v>0.941368078</v>
      </c>
      <c r="D15">
        <v>0.941879413</v>
      </c>
      <c r="E15">
        <v>921</v>
      </c>
      <c r="G15">
        <v>1</v>
      </c>
      <c r="H15">
        <v>0.93837837800000001</v>
      </c>
      <c r="I15">
        <v>0.94245385500000001</v>
      </c>
      <c r="J15">
        <v>0.94041170100000004</v>
      </c>
      <c r="K15">
        <v>921</v>
      </c>
    </row>
    <row r="16" spans="1:12" x14ac:dyDescent="0.3">
      <c r="A16">
        <v>2</v>
      </c>
      <c r="B16">
        <v>0.98056365400000001</v>
      </c>
      <c r="C16">
        <v>0.95368620000000004</v>
      </c>
      <c r="D16">
        <v>0.96693818899999995</v>
      </c>
      <c r="E16">
        <v>1058</v>
      </c>
      <c r="G16">
        <v>2</v>
      </c>
      <c r="H16">
        <v>0.98330058899999995</v>
      </c>
      <c r="I16">
        <v>0.94612476400000001</v>
      </c>
      <c r="J16">
        <v>0.96435452799999999</v>
      </c>
      <c r="K16">
        <v>1058</v>
      </c>
    </row>
    <row r="17" spans="1:11" x14ac:dyDescent="0.3">
      <c r="A17">
        <v>3</v>
      </c>
      <c r="B17">
        <v>0.97034764799999995</v>
      </c>
      <c r="C17">
        <v>0.94899999999999995</v>
      </c>
      <c r="D17">
        <v>0.95955510600000005</v>
      </c>
      <c r="E17">
        <v>1000</v>
      </c>
      <c r="G17">
        <v>3</v>
      </c>
      <c r="H17">
        <v>0.96935648600000002</v>
      </c>
      <c r="I17">
        <v>0.94899999999999995</v>
      </c>
      <c r="J17">
        <v>0.95907023700000005</v>
      </c>
      <c r="K17">
        <v>1000</v>
      </c>
    </row>
    <row r="18" spans="1:11" x14ac:dyDescent="0.3">
      <c r="A18">
        <v>4</v>
      </c>
      <c r="B18">
        <v>0.96636993100000002</v>
      </c>
      <c r="C18">
        <v>0.97699999999999998</v>
      </c>
      <c r="D18">
        <v>0.97165589299999999</v>
      </c>
      <c r="E18">
        <v>2000</v>
      </c>
      <c r="G18">
        <v>4</v>
      </c>
      <c r="H18">
        <v>0.96592592600000005</v>
      </c>
      <c r="I18">
        <v>0.97799999999999998</v>
      </c>
      <c r="J18">
        <v>0.97192546599999996</v>
      </c>
      <c r="K18">
        <v>2000</v>
      </c>
    </row>
    <row r="19" spans="1:11" x14ac:dyDescent="0.3">
      <c r="A19" t="s">
        <v>13</v>
      </c>
      <c r="B19">
        <v>0.96679125899999996</v>
      </c>
      <c r="G19" t="s">
        <v>13</v>
      </c>
      <c r="H19">
        <v>0.96549741200000005</v>
      </c>
    </row>
    <row r="20" spans="1:11" x14ac:dyDescent="0.3">
      <c r="A20" t="s">
        <v>15</v>
      </c>
      <c r="B20">
        <v>0.96585578299999997</v>
      </c>
      <c r="C20">
        <v>0.96107479100000004</v>
      </c>
      <c r="D20">
        <v>0.96338724600000003</v>
      </c>
      <c r="E20">
        <v>6956</v>
      </c>
      <c r="G20" t="s">
        <v>15</v>
      </c>
      <c r="H20">
        <v>0.96472229099999995</v>
      </c>
      <c r="I20">
        <v>0.95957500500000004</v>
      </c>
      <c r="J20">
        <v>0.96203447399999997</v>
      </c>
      <c r="K20">
        <v>6956</v>
      </c>
    </row>
    <row r="21" spans="1:11" x14ac:dyDescent="0.3">
      <c r="A21" t="s">
        <v>14</v>
      </c>
      <c r="B21">
        <v>0.96684560900000005</v>
      </c>
      <c r="C21">
        <v>0.96679125899999996</v>
      </c>
      <c r="D21">
        <v>0.96674882399999995</v>
      </c>
      <c r="E21">
        <v>6956</v>
      </c>
      <c r="G21" t="s">
        <v>14</v>
      </c>
      <c r="H21">
        <v>0.96562019099999996</v>
      </c>
      <c r="I21">
        <v>0.96549741200000005</v>
      </c>
      <c r="J21">
        <v>0.96545958399999998</v>
      </c>
      <c r="K21">
        <v>6956</v>
      </c>
    </row>
    <row r="23" spans="1:11" x14ac:dyDescent="0.3">
      <c r="A23" s="1">
        <v>3</v>
      </c>
      <c r="B23" s="1" t="s">
        <v>21</v>
      </c>
      <c r="C23" s="1" t="s">
        <v>7</v>
      </c>
      <c r="G23" s="1">
        <v>3</v>
      </c>
      <c r="H23" s="1" t="s">
        <v>21</v>
      </c>
      <c r="I23" s="1" t="s">
        <v>7</v>
      </c>
    </row>
    <row r="24" spans="1:11" x14ac:dyDescent="0.3">
      <c r="A24" s="1" t="s">
        <v>1</v>
      </c>
      <c r="B24" s="1" t="s">
        <v>3</v>
      </c>
      <c r="C24" s="1" t="s">
        <v>4</v>
      </c>
      <c r="D24" s="1" t="s">
        <v>5</v>
      </c>
      <c r="E24" s="1" t="s">
        <v>2</v>
      </c>
      <c r="F24" s="1"/>
      <c r="G24" s="1" t="s">
        <v>1</v>
      </c>
      <c r="H24" s="1" t="s">
        <v>3</v>
      </c>
      <c r="I24" s="1" t="s">
        <v>4</v>
      </c>
      <c r="J24" s="1" t="s">
        <v>5</v>
      </c>
      <c r="K24" s="1" t="s">
        <v>2</v>
      </c>
    </row>
    <row r="25" spans="1:11" x14ac:dyDescent="0.3">
      <c r="A25">
        <v>0</v>
      </c>
      <c r="B25">
        <v>0.97183098599999995</v>
      </c>
      <c r="C25">
        <v>0.97723824000000004</v>
      </c>
      <c r="D25">
        <v>0.97452711199999997</v>
      </c>
      <c r="E25">
        <v>1977</v>
      </c>
      <c r="G25">
        <v>0</v>
      </c>
      <c r="H25">
        <v>0.96796796799999996</v>
      </c>
      <c r="I25">
        <v>0.97824987399999996</v>
      </c>
      <c r="J25">
        <v>0.97308176099999999</v>
      </c>
      <c r="K25">
        <v>1977</v>
      </c>
    </row>
    <row r="26" spans="1:11" x14ac:dyDescent="0.3">
      <c r="A26">
        <v>1</v>
      </c>
      <c r="B26">
        <v>0.93852908899999998</v>
      </c>
      <c r="C26">
        <v>0.92833876199999998</v>
      </c>
      <c r="D26">
        <v>0.93340611399999995</v>
      </c>
      <c r="E26">
        <v>921</v>
      </c>
      <c r="G26">
        <v>1</v>
      </c>
      <c r="H26">
        <v>0.94254143599999995</v>
      </c>
      <c r="I26">
        <v>0.92616721000000002</v>
      </c>
      <c r="J26">
        <v>0.93428258500000005</v>
      </c>
      <c r="K26">
        <v>921</v>
      </c>
    </row>
    <row r="27" spans="1:11" x14ac:dyDescent="0.3">
      <c r="A27">
        <v>2</v>
      </c>
      <c r="B27">
        <v>0.986328125</v>
      </c>
      <c r="C27">
        <v>0.95463138000000003</v>
      </c>
      <c r="D27">
        <v>0.970220941</v>
      </c>
      <c r="E27">
        <v>1058</v>
      </c>
      <c r="G27">
        <v>2</v>
      </c>
      <c r="H27">
        <v>0.98923679099999995</v>
      </c>
      <c r="I27">
        <v>0.95557656000000002</v>
      </c>
      <c r="J27">
        <v>0.97211538500000005</v>
      </c>
      <c r="K27">
        <v>1058</v>
      </c>
    </row>
    <row r="28" spans="1:11" x14ac:dyDescent="0.3">
      <c r="A28">
        <v>3</v>
      </c>
      <c r="B28">
        <v>0.97655453599999997</v>
      </c>
      <c r="C28">
        <v>0.95799999999999996</v>
      </c>
      <c r="D28">
        <v>0.96718828899999998</v>
      </c>
      <c r="E28">
        <v>1000</v>
      </c>
      <c r="G28">
        <v>3</v>
      </c>
      <c r="H28">
        <v>0.97660223800000001</v>
      </c>
      <c r="I28">
        <v>0.96</v>
      </c>
      <c r="J28">
        <v>0.96822995499999998</v>
      </c>
      <c r="K28">
        <v>1000</v>
      </c>
    </row>
    <row r="29" spans="1:11" x14ac:dyDescent="0.3">
      <c r="A29">
        <v>4</v>
      </c>
      <c r="B29">
        <v>0.96003898600000004</v>
      </c>
      <c r="C29">
        <v>0.98499999999999999</v>
      </c>
      <c r="D29">
        <v>0.97235932899999999</v>
      </c>
      <c r="E29">
        <v>2000</v>
      </c>
      <c r="G29">
        <v>4</v>
      </c>
      <c r="H29">
        <v>0.9609375</v>
      </c>
      <c r="I29">
        <v>0.98399999999999999</v>
      </c>
      <c r="J29">
        <v>0.97233201599999997</v>
      </c>
      <c r="K29">
        <v>2000</v>
      </c>
    </row>
    <row r="30" spans="1:11" x14ac:dyDescent="0.3">
      <c r="A30" t="s">
        <v>13</v>
      </c>
      <c r="B30">
        <v>0.96679125899999996</v>
      </c>
      <c r="G30" t="s">
        <v>13</v>
      </c>
      <c r="H30">
        <v>0.96693501999999998</v>
      </c>
    </row>
    <row r="31" spans="1:11" x14ac:dyDescent="0.3">
      <c r="A31" t="s">
        <v>15</v>
      </c>
      <c r="B31">
        <v>0.966656344</v>
      </c>
      <c r="C31">
        <v>0.96064167600000006</v>
      </c>
      <c r="D31">
        <v>0.96354035699999996</v>
      </c>
      <c r="E31">
        <v>6956</v>
      </c>
      <c r="G31" t="s">
        <v>15</v>
      </c>
      <c r="H31">
        <v>0.96745718700000005</v>
      </c>
      <c r="I31">
        <v>0.96079872899999996</v>
      </c>
      <c r="J31">
        <v>0.96400834000000002</v>
      </c>
      <c r="K31">
        <v>6956</v>
      </c>
    </row>
    <row r="32" spans="1:11" x14ac:dyDescent="0.3">
      <c r="A32" t="s">
        <v>14</v>
      </c>
      <c r="B32">
        <v>0.96691529799999998</v>
      </c>
      <c r="C32">
        <v>0.96679125899999996</v>
      </c>
      <c r="D32">
        <v>0.96674925700000003</v>
      </c>
      <c r="E32">
        <v>6956</v>
      </c>
      <c r="G32" t="s">
        <v>14</v>
      </c>
      <c r="H32">
        <v>0.96705622499999999</v>
      </c>
      <c r="I32">
        <v>0.96693501999999998</v>
      </c>
      <c r="J32">
        <v>0.96688455500000003</v>
      </c>
      <c r="K32">
        <v>6956</v>
      </c>
    </row>
    <row r="33" spans="1:11" x14ac:dyDescent="0.3">
      <c r="A33" s="1"/>
      <c r="B33" s="1"/>
      <c r="C33" s="1"/>
    </row>
    <row r="34" spans="1:11" x14ac:dyDescent="0.3">
      <c r="A34" s="1">
        <v>4</v>
      </c>
      <c r="B34" s="1" t="s">
        <v>23</v>
      </c>
      <c r="C34" s="1" t="s">
        <v>7</v>
      </c>
      <c r="G34" s="1">
        <v>4</v>
      </c>
      <c r="H34" s="1" t="s">
        <v>23</v>
      </c>
      <c r="I34" s="1" t="s">
        <v>7</v>
      </c>
    </row>
    <row r="35" spans="1:11" x14ac:dyDescent="0.3">
      <c r="A35" s="1" t="s">
        <v>1</v>
      </c>
      <c r="B35" s="1" t="s">
        <v>3</v>
      </c>
      <c r="C35" s="1" t="s">
        <v>4</v>
      </c>
      <c r="D35" s="1" t="s">
        <v>5</v>
      </c>
      <c r="E35" s="1" t="s">
        <v>2</v>
      </c>
      <c r="F35" s="1"/>
      <c r="G35" s="1" t="s">
        <v>1</v>
      </c>
      <c r="H35" s="1" t="s">
        <v>3</v>
      </c>
      <c r="I35" s="1" t="s">
        <v>4</v>
      </c>
      <c r="J35" s="1" t="s">
        <v>5</v>
      </c>
      <c r="K35" s="1" t="s">
        <v>2</v>
      </c>
    </row>
    <row r="36" spans="1:11" x14ac:dyDescent="0.3">
      <c r="A36">
        <v>0</v>
      </c>
      <c r="B36">
        <v>0.97010463400000002</v>
      </c>
      <c r="C36">
        <v>0.984825493</v>
      </c>
      <c r="D36">
        <v>0.977409639</v>
      </c>
      <c r="E36">
        <v>1977</v>
      </c>
      <c r="G36">
        <v>0</v>
      </c>
      <c r="H36">
        <v>0.972541188</v>
      </c>
      <c r="I36">
        <v>0.98533130999999996</v>
      </c>
      <c r="J36">
        <v>0.97889447200000002</v>
      </c>
      <c r="K36">
        <v>1977</v>
      </c>
    </row>
    <row r="37" spans="1:11" x14ac:dyDescent="0.3">
      <c r="A37">
        <v>1</v>
      </c>
      <c r="B37">
        <v>0.947598253</v>
      </c>
      <c r="C37">
        <v>0.94245385500000001</v>
      </c>
      <c r="D37">
        <v>0.945019053</v>
      </c>
      <c r="E37">
        <v>921</v>
      </c>
      <c r="G37">
        <v>1</v>
      </c>
      <c r="H37">
        <v>0.94874591100000005</v>
      </c>
      <c r="I37">
        <v>0.94462540699999997</v>
      </c>
      <c r="J37">
        <v>0.94668117500000004</v>
      </c>
      <c r="K37">
        <v>921</v>
      </c>
    </row>
    <row r="38" spans="1:11" x14ac:dyDescent="0.3">
      <c r="A38">
        <v>2</v>
      </c>
      <c r="B38">
        <v>0.984375</v>
      </c>
      <c r="C38">
        <v>0.95274102100000002</v>
      </c>
      <c r="D38">
        <v>0.96829971199999998</v>
      </c>
      <c r="E38">
        <v>1058</v>
      </c>
      <c r="G38">
        <v>2</v>
      </c>
      <c r="H38">
        <v>0.98146341500000001</v>
      </c>
      <c r="I38">
        <v>0.95085066200000001</v>
      </c>
      <c r="J38">
        <v>0.96591454600000004</v>
      </c>
      <c r="K38">
        <v>1058</v>
      </c>
    </row>
    <row r="39" spans="1:11" x14ac:dyDescent="0.3">
      <c r="A39">
        <v>3</v>
      </c>
      <c r="B39">
        <v>0.97474747500000003</v>
      </c>
      <c r="C39">
        <v>0.96499999999999997</v>
      </c>
      <c r="D39">
        <v>0.969849246</v>
      </c>
      <c r="E39">
        <v>1000</v>
      </c>
      <c r="G39">
        <v>3</v>
      </c>
      <c r="H39">
        <v>0.97865853700000005</v>
      </c>
      <c r="I39">
        <v>0.96299999999999997</v>
      </c>
      <c r="J39">
        <v>0.97076612900000003</v>
      </c>
      <c r="K39">
        <v>1000</v>
      </c>
    </row>
    <row r="40" spans="1:11" x14ac:dyDescent="0.3">
      <c r="A40">
        <v>4</v>
      </c>
      <c r="B40">
        <v>0.96830113900000003</v>
      </c>
      <c r="C40">
        <v>0.97750000000000004</v>
      </c>
      <c r="D40">
        <v>0.97287882599999997</v>
      </c>
      <c r="E40">
        <v>2000</v>
      </c>
      <c r="G40">
        <v>4</v>
      </c>
      <c r="H40">
        <v>0.96546620599999999</v>
      </c>
      <c r="I40">
        <v>0.97850000000000004</v>
      </c>
      <c r="J40">
        <v>0.97193940899999998</v>
      </c>
      <c r="K40">
        <v>2000</v>
      </c>
    </row>
    <row r="41" spans="1:11" x14ac:dyDescent="0.3">
      <c r="A41" t="s">
        <v>13</v>
      </c>
      <c r="B41">
        <v>0.96937895299999999</v>
      </c>
      <c r="G41" t="s">
        <v>13</v>
      </c>
      <c r="H41">
        <v>0.96952271400000001</v>
      </c>
    </row>
    <row r="42" spans="1:11" x14ac:dyDescent="0.3">
      <c r="A42" t="s">
        <v>15</v>
      </c>
      <c r="B42">
        <v>0.96902529999999998</v>
      </c>
      <c r="C42">
        <v>0.96450407400000004</v>
      </c>
      <c r="D42">
        <v>0.96669129499999995</v>
      </c>
      <c r="E42">
        <v>6956</v>
      </c>
      <c r="G42" t="s">
        <v>15</v>
      </c>
      <c r="H42">
        <v>0.96937505099999999</v>
      </c>
      <c r="I42">
        <v>0.96446147599999998</v>
      </c>
      <c r="J42">
        <v>0.96683914599999998</v>
      </c>
      <c r="K42">
        <v>6956</v>
      </c>
    </row>
    <row r="43" spans="1:11" x14ac:dyDescent="0.3">
      <c r="A43" t="s">
        <v>14</v>
      </c>
      <c r="B43">
        <v>0.96944412800000002</v>
      </c>
      <c r="C43">
        <v>0.96937895299999999</v>
      </c>
      <c r="D43">
        <v>0.96934580199999998</v>
      </c>
      <c r="E43">
        <v>6956</v>
      </c>
      <c r="G43" t="s">
        <v>14</v>
      </c>
      <c r="H43">
        <v>0.96959289199999998</v>
      </c>
      <c r="I43">
        <v>0.96952271400000001</v>
      </c>
      <c r="J43">
        <v>0.96948681299999995</v>
      </c>
      <c r="K43">
        <v>6956</v>
      </c>
    </row>
    <row r="45" spans="1:11" x14ac:dyDescent="0.3">
      <c r="A45" s="1">
        <v>5</v>
      </c>
      <c r="B45" s="1" t="s">
        <v>25</v>
      </c>
      <c r="C45" s="1" t="s">
        <v>7</v>
      </c>
      <c r="G45" s="1">
        <v>5</v>
      </c>
      <c r="H45" s="1" t="s">
        <v>25</v>
      </c>
      <c r="I45" s="1" t="s">
        <v>7</v>
      </c>
    </row>
    <row r="46" spans="1:11" x14ac:dyDescent="0.3">
      <c r="A46" s="1" t="s">
        <v>1</v>
      </c>
      <c r="B46" s="1" t="s">
        <v>3</v>
      </c>
      <c r="C46" s="1" t="s">
        <v>4</v>
      </c>
      <c r="D46" s="1" t="s">
        <v>5</v>
      </c>
      <c r="E46" s="1" t="s">
        <v>2</v>
      </c>
      <c r="F46" s="1"/>
      <c r="G46" s="1" t="s">
        <v>1</v>
      </c>
      <c r="H46" s="1" t="s">
        <v>3</v>
      </c>
      <c r="I46" s="1" t="s">
        <v>4</v>
      </c>
      <c r="J46" s="1" t="s">
        <v>5</v>
      </c>
      <c r="K46" s="1" t="s">
        <v>2</v>
      </c>
    </row>
    <row r="47" spans="1:11" x14ac:dyDescent="0.3">
      <c r="A47">
        <v>0</v>
      </c>
      <c r="B47">
        <v>0.97274103999999995</v>
      </c>
      <c r="C47">
        <v>0.97470915499999999</v>
      </c>
      <c r="D47">
        <v>0.97372410300000001</v>
      </c>
      <c r="E47">
        <v>1977</v>
      </c>
      <c r="G47">
        <v>0</v>
      </c>
      <c r="H47" s="2">
        <v>0.97412480999999995</v>
      </c>
      <c r="I47" s="2">
        <v>0.971168437</v>
      </c>
      <c r="J47" s="2">
        <v>0.97264437699999995</v>
      </c>
      <c r="K47">
        <v>1977</v>
      </c>
    </row>
    <row r="48" spans="1:11" x14ac:dyDescent="0.3">
      <c r="A48">
        <v>1</v>
      </c>
      <c r="B48">
        <v>0.93361884399999995</v>
      </c>
      <c r="C48">
        <v>0.94679696000000002</v>
      </c>
      <c r="D48">
        <v>0.94016172499999995</v>
      </c>
      <c r="E48">
        <v>921</v>
      </c>
      <c r="G48">
        <v>1</v>
      </c>
      <c r="H48">
        <v>0.92781316300000005</v>
      </c>
      <c r="I48" s="2">
        <v>0.94896851199999999</v>
      </c>
      <c r="J48">
        <v>0.93827160499999995</v>
      </c>
      <c r="K48">
        <v>921</v>
      </c>
    </row>
    <row r="49" spans="1:11" x14ac:dyDescent="0.3">
      <c r="A49">
        <v>2</v>
      </c>
      <c r="B49">
        <v>0.97849462399999998</v>
      </c>
      <c r="C49">
        <v>0.94612476400000001</v>
      </c>
      <c r="D49">
        <v>0.96203748200000005</v>
      </c>
      <c r="E49">
        <v>1058</v>
      </c>
      <c r="G49">
        <v>2</v>
      </c>
      <c r="H49" s="2">
        <v>0.97560975599999999</v>
      </c>
      <c r="I49">
        <v>0.94517958400000002</v>
      </c>
      <c r="J49" s="2">
        <v>0.96015362500000001</v>
      </c>
      <c r="K49">
        <v>1058</v>
      </c>
    </row>
    <row r="50" spans="1:11" x14ac:dyDescent="0.3">
      <c r="A50">
        <v>3</v>
      </c>
      <c r="B50">
        <v>0.96696696699999996</v>
      </c>
      <c r="C50">
        <v>0.96599999999999997</v>
      </c>
      <c r="D50">
        <v>0.96648324200000002</v>
      </c>
      <c r="E50">
        <v>1000</v>
      </c>
      <c r="G50">
        <v>3</v>
      </c>
      <c r="H50">
        <v>0.96496496499999995</v>
      </c>
      <c r="I50">
        <v>0.96399999999999997</v>
      </c>
      <c r="J50" s="2">
        <v>0.96448224100000002</v>
      </c>
      <c r="K50">
        <v>1000</v>
      </c>
    </row>
    <row r="51" spans="1:11" x14ac:dyDescent="0.3">
      <c r="A51">
        <v>4</v>
      </c>
      <c r="B51">
        <v>0.96731054999999999</v>
      </c>
      <c r="C51">
        <v>0.97650000000000003</v>
      </c>
      <c r="D51">
        <v>0.97188355299999996</v>
      </c>
      <c r="E51">
        <v>2000</v>
      </c>
      <c r="G51">
        <v>4</v>
      </c>
      <c r="H51" s="2">
        <v>0.96483407600000004</v>
      </c>
      <c r="I51">
        <v>0.97399999999999998</v>
      </c>
      <c r="J51" s="2">
        <v>0.96939537200000003</v>
      </c>
      <c r="K51">
        <v>2000</v>
      </c>
    </row>
    <row r="52" spans="1:11" x14ac:dyDescent="0.3">
      <c r="A52" t="s">
        <v>13</v>
      </c>
      <c r="B52">
        <v>0.965928695</v>
      </c>
      <c r="G52" t="s">
        <v>13</v>
      </c>
      <c r="H52" s="2">
        <v>0.96405980400000002</v>
      </c>
    </row>
    <row r="53" spans="1:11" x14ac:dyDescent="0.3">
      <c r="A53" t="s">
        <v>15</v>
      </c>
      <c r="B53">
        <v>0.96382640500000005</v>
      </c>
      <c r="C53">
        <v>0.96202617599999996</v>
      </c>
      <c r="D53">
        <v>0.96285802099999995</v>
      </c>
      <c r="E53">
        <v>6956</v>
      </c>
      <c r="G53" t="s">
        <v>15</v>
      </c>
      <c r="H53" s="2">
        <v>0.961469354</v>
      </c>
      <c r="I53" s="2">
        <v>0.96066330700000002</v>
      </c>
      <c r="J53" s="2">
        <v>0.96098944399999997</v>
      </c>
      <c r="K53">
        <v>6956</v>
      </c>
    </row>
    <row r="54" spans="1:11" x14ac:dyDescent="0.3">
      <c r="A54" t="s">
        <v>14</v>
      </c>
      <c r="B54">
        <v>0.96604476299999997</v>
      </c>
      <c r="C54">
        <v>0.965928695</v>
      </c>
      <c r="D54">
        <v>0.96593264899999998</v>
      </c>
      <c r="E54">
        <v>6956</v>
      </c>
      <c r="G54" t="s">
        <v>14</v>
      </c>
      <c r="H54" s="2">
        <v>0.96423072300000001</v>
      </c>
      <c r="I54" s="2">
        <v>0.96405980400000002</v>
      </c>
      <c r="J54">
        <v>0.96408591200000004</v>
      </c>
      <c r="K54">
        <v>6956</v>
      </c>
    </row>
    <row r="56" spans="1:11" x14ac:dyDescent="0.3">
      <c r="A56" s="1" t="s">
        <v>26</v>
      </c>
      <c r="B56">
        <f>AVERAGE(B19,B30,B41,B52, B8)</f>
        <v>0.96687751566118441</v>
      </c>
    </row>
    <row r="57" spans="1:11" x14ac:dyDescent="0.3">
      <c r="A57" s="1" t="s">
        <v>27</v>
      </c>
      <c r="B57">
        <f>AVERAGE(H8,H19,H30,H41,H52)</f>
        <v>0.96581368579999993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 Before Overfitting Check</vt:lpstr>
      <vt:lpstr>XGBoost Before Check</vt:lpstr>
      <vt:lpstr>RF</vt:lpstr>
      <vt:lpstr>XGBoost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Rana</dc:creator>
  <cp:lastModifiedBy>Jai Rana</cp:lastModifiedBy>
  <dcterms:created xsi:type="dcterms:W3CDTF">2026-04-13T16:48:53Z</dcterms:created>
  <dcterms:modified xsi:type="dcterms:W3CDTF">2026-04-13T18:44:56Z</dcterms:modified>
</cp:coreProperties>
</file>